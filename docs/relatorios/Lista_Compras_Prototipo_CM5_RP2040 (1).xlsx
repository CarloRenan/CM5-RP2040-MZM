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" sheetId="1" r:id="rId5"/>
    <sheet state="visible" name="Cotações" sheetId="2" r:id="rId6"/>
    <sheet state="visible" name="Uso e critérios" sheetId="3" r:id="rId7"/>
  </sheets>
  <definedNames>
    <definedName hidden="1" localSheetId="1" name="Z_59BB7FE8_87B4_49C6_A742_9CA5B35CFC15_.wvu.FilterData">'Cotações'!$A$7:$K$67</definedName>
    <definedName hidden="1" localSheetId="0" name="Z_3E0A0BFC_6C6A_4ECB_8021_58261B685053_.wvu.FilterData">Compras!$A$9:$M$29</definedName>
  </definedNames>
  <calcPr/>
  <customWorkbookViews>
    <customWorkbookView activeSheetId="0" maximized="1" windowHeight="0" windowWidth="0" guid="{59BB7FE8-87B4-49C6-A742-9CA5B35CFC15}" name="Ofertas filter view"/>
    <customWorkbookView activeSheetId="0" maximized="1" windowHeight="0" windowWidth="0" guid="{3E0A0BFC-6C6A-4ECB-8021-58261B685053}" name="ListaCompras filter view"/>
  </customWorkbookViews>
</workbook>
</file>

<file path=xl/sharedStrings.xml><?xml version="1.0" encoding="utf-8"?>
<sst xmlns="http://schemas.openxmlformats.org/spreadsheetml/2006/main" count="643" uniqueCount="407">
  <si>
    <t>Como esta lista atende ao protótipo</t>
  </si>
  <si>
    <t>Proposta de bancada auxiliar ao projeto CM5 / RP2040 / MZM • 22/10/2026</t>
  </si>
  <si>
    <t>Equipe: Carlos Renan Correia Fidelis; Carlos Elias Fialho de Lima; Pablo Daniel Nascimento Vieira.</t>
  </si>
  <si>
    <t>Tema</t>
  </si>
  <si>
    <t>Aplicação e decisão de compra</t>
  </si>
  <si>
    <t>Escopo desta compra</t>
  </si>
  <si>
    <t>Atende à solicitação de microcontroladores, TEC com dissipação e acionamento, sensor com condicionamento, aquecedor e carga de três diodos. É uma bancada para estudar os circuitos antes de conectar um laser. Não é a lista completa de fabricação da placa R6 nem uma afirmação de que ela já contém controle de corrente do laser e de temperatura.</t>
  </si>
  <si>
    <t>Microcontrolador auxiliar</t>
  </si>
  <si>
    <t>A opção mantém a Raspberry Pi Pico com RP2040, já usada no projeto. Uma placa executa aquisição e comando do aquecedor; a segunda é reserva. As quantidades podem ser reduzidas conforme o material disponível. O CM5 pode receber dados posteriormente; não é necessário comprar outro CM5 para começar os ensaios pela USB do computador.</t>
  </si>
  <si>
    <t>Alimentação do ensaio</t>
  </si>
  <si>
    <t>Usar a fonte ajustável inicialmente em 12 V, com limitação de corrente. Os três XL4015 separam os ajustes do TEC, do aquecedor e da carga de diodos. A Pico recebe alimentação USB e fornece 3,3 V à parte de medição, dentro da capacidade disponível. Não aplicar 12 V ou 15 V aos GPIOs, ao ADC, à USB ou ao pino 3V3 da Pico.</t>
  </si>
  <si>
    <t>Conjunto térmico</t>
  </si>
  <si>
    <t>O TEC transfere calor da carga para o dissipador. A ventoinha ajuda o dissipador a liberar esse calor para o ar. A potência que precisa ser dissipada inclui o calor removido e a potência elétrica consumida pelo TEC. O código TEC1-12706 e o tamanho de 40 × 40 mm não comprovam equivalência com o TEC do laser. As três alternativas de kit têm diferenças mecânicas.</t>
  </si>
  <si>
    <t>Acionamento inicial do TEC</t>
  </si>
  <si>
    <t>A proposta base é começar com alimentação DC ajustável manualmente pelo XL4015 CC/CV, sem ponte H. Limitar inicialmente a corrente do ramo a até 2 A e acompanhar a temperatura do dissipador; esse limite é uma condição de ensaio proposta, não uma especificação do laser. A fonte de 5 A e os fusíveis de 3 A não foram dimensionados para explorar a corrente máxima anunciada de 6 A do TEC.</t>
  </si>
  <si>
    <t>Controle automático do TEC</t>
  </si>
  <si>
    <t>O BTS7960 foi deixado com quantidade zero, como alternativa para estudo. Um driver de motor não equivale a um controlador TEC de precisão. A passagem para controle automático requer dimensionamento da etapa de potência, filtragem, medição de corrente e malha de temperatura. PWM sem filtragem não foi adotado como solução final do TEC; o guia da Coherent discute ondulação e filtragem na alimentação.</t>
  </si>
  <si>
    <t>Sensor e condicionamento</t>
  </si>
  <si>
    <t>Para cada NTC, a proposta é um divisor com resistor de 10 kΩ, alimentado em 3,3 V: resistor fixo no ramo superior e NTC no inferior. A tensão no ponto central diminui quando o NTC aquece. O ADC mede essa tensão; o firmware converte resistência em temperatura usando os parâmetros corretos do sensor. Os capacitores de 100 nF auxiliam a filtragem e o desacoplamento.</t>
  </si>
  <si>
    <t>Leitura pelo ADS1115</t>
  </si>
  <si>
    <t>O ADS1115 permite quatro entradas multiplexadas e comunicação I²C. Pode-se reservar duas entradas para os NTCs e um par diferencial para o shunt, lidos em sequência. Alimentação e pull-ups em 3,3 V mantêm os sinais compatíveis com a Pico. Cada entrada deve permanecer dentro dos limites do ADC; selecionar uma escala de ganho maior não autoriza tensão acima da alimentação. Não se trata de quatro amostragens simultâneas.</t>
  </si>
  <si>
    <t>Aquecedor que imita o laser</t>
  </si>
  <si>
    <t>O resistor de 10 Ω transforma energia elétrica em calor. Em 5 V, os valores nominais calculados são I = 5/10 = 0,5 A e P = 5²/10 = 2,5 W. A indicação 20 W é a potência nominal do componente sob suas condições de uso, não o consumo obrigatório. O MOSFET controla a potência média por PWM. Fixar o aquecedor à massa térmica do ensaio com isolamento elétrico apropriado.</t>
  </si>
  <si>
    <t>Carga de três diodos</t>
  </si>
  <si>
    <t>Ligar três 1N5408 em série forma uma carga para estudar o fornecimento de corrente. O XL4015 CC/CV permite um primeiro ajuste manual. Propõe-se começar em 0,2 A, valor de ensaio e não corrente nominal do laser. A queda nos diodos varia com corrente e temperatura. A carga não reproduz luz, eficiência óptica ou todos os transientes de um laser; um módulo CC/CV genérico não é um driver aprovado para o laser real.</t>
  </si>
  <si>
    <t>Ponto de medição de corrente</t>
  </si>
  <si>
    <t>Com um shunt de 1 Ω, I = Vshunt / 1 Ω. Em 0,2 A, calculam-se 0,2 V e 0,04 W no resistor. Esses são cálculos nominais, não resultados medidos. A tolerância de 5% e a exatidão do ADC afetam a medida. Módulos CC/CV podem medir corrente no retorno: não unir IN− e OUT− externamente sem verificar o circuito, pois isso pode desviar o resistor de medição do regulador.</t>
  </si>
  <si>
    <t>Sequência de montagem</t>
  </si>
  <si>
    <t>Primeiro, verificar Pico, ADC e NTCs pela USB. Depois, ensaiar separadamente o aquecedor em 5 V, a carga de diodos com corrente limitada e o conjunto TEC já preso ao dissipador com ventilação. Só então reunir os ramos. As conexões de potência devem ser soldadas ou feitas por bornes apropriados; protoboard e jumpers ficam reservados à eletrônica de medição e aos sinais.</t>
  </si>
  <si>
    <t>Ligação com a placa R6</t>
  </si>
  <si>
    <t>A entrada externa de duas vias da placa R6 permanece associada aos 15 V do projeto. J103 disponibiliza a interface I²C e a linha interna de 3,3 V; não exige uma fonte externa de 3,3 V. J104 é a interface de ventilação de 5 V do projeto: os ventiladores de 12 V desta bancada não devem ser conectados diretamente ali. BIAS_F e BIAS_OUT são sinais do controle do MZM e não alimentações para TEC, aquecedor ou laser.</t>
  </si>
  <si>
    <t>Mecânica e instrumentos</t>
  </si>
  <si>
    <t>O suporte da carga, os pontos de fixação dos sensores e o isolamento do aquecedor dependem do kit escolhido. Confirmar se pasta térmica, parafusos e cabos da fonte acompanham a oferta. Esses complementos específicos, solda e instrumentos (multímetro, osciloscópio e termômetro de referência) não foram precificados. A lista não presume que o laboratório já os possui.</t>
  </si>
  <si>
    <t>Antes da compra para o laser</t>
  </si>
  <si>
    <t>Para substituir a bancada didática pelo conjunto equivalente ao laser, faltam a identificação exata do laser e os dados do TEC: dimensões, tensão, corrente, carga térmica e faixa de temperatura. Também são necessários os dados do sensor e a corrente de operação do laser. Essas informações alteram principalmente os itens 02, 03, 04, 12 e 13. A proposta de ensaio não deve ser apresentada como validação desses componentes para o laser real.</t>
  </si>
  <si>
    <t>Leitura do orçamento</t>
  </si>
  <si>
    <t>O subtotal soma apenas preços conhecidos da opção selecionada. O aquecedor está com preço pendente. Frete, eventuais pedidos mínimos, consumíveis de montagem e instrumentos adicionais não entram nesse subtotal. Estoque e preços são os anunciados nas páginas consultadas, sujeitos a alteração; não foram feitas compras nem reservas. Links de marketplace podem ser do mesmo vendedor de outra opção.</t>
  </si>
  <si>
    <t>Fonte técnica — Raspberry Pi</t>
  </si>
  <si>
    <t>Documentação oficial da família Pico: alimentação, interfaces e pinagem. https://www.raspberrypi.com/documentation/microcontrollers/pico-series.html — Datasheet: https://datasheets.raspberrypi.com/pico/pico-datasheet.pdf</t>
  </si>
  <si>
    <t>Fonte técnica — Texas Instruments</t>
  </si>
  <si>
    <t>ADS1115: conversor de 16 bits, quatro entradas multiplexadas, I²C e alimentação de 2 a 5,5 V. Usado aqui para sinais lentos da bancada. https://www.ti.com/product/ADS1115</t>
  </si>
  <si>
    <t>Fonte técnica — Coherent</t>
  </si>
  <si>
    <t>Thermoelectric Cooling Systems Design Guide: dimensionamento, dissipação, alimentação DC, ondulação, controle e montagem de TECs. https://www.coherent.com/resources/datasheet/materials/related-resources/thermoelectrics/thermoelectric-cooling-systems-design-guide-br.pdf</t>
  </si>
  <si>
    <t>Rastreabilidade do projeto</t>
  </si>
  <si>
    <t>Cotações e links de origem</t>
  </si>
  <si>
    <t>Três links de produto por item. As embalagens, formas físicas e condições comerciais podem variar. Pesquisa consultada em 22/10/2026.</t>
  </si>
  <si>
    <t>Preços em reais, sem frete e sem desconto Pix no cálculo. Atualize preço e quantidade do lote somente após conferir a opção escolhida. Ofertas indisponíveis foram identificadas; não são recomendadas para compra imediata.</t>
  </si>
  <si>
    <t>“A confirmar” indica que a disponibilidade não foi comprovada. Uma página localizada pelo buscador não comprova estoque. Na lista principal, a opção 1 é a referência de orçamento, não uma garantia de menor preço.</t>
  </si>
  <si>
    <t>Chave</t>
  </si>
  <si>
    <t>ID</t>
  </si>
  <si>
    <t>Opção</t>
  </si>
  <si>
    <t>Fornecedor / canal</t>
  </si>
  <si>
    <t>Produto e embalagem</t>
  </si>
  <si>
    <t>Unidades / lote</t>
  </si>
  <si>
    <t>Preço / lote (R$)</t>
  </si>
  <si>
    <t>Condição do preço</t>
  </si>
  <si>
    <t>Disponibilidade observada</t>
  </si>
  <si>
    <t>URL de origem</t>
  </si>
  <si>
    <t>Observação da oferta</t>
  </si>
  <si>
    <t>01-1</t>
  </si>
  <si>
    <t>01</t>
  </si>
  <si>
    <t>RoboBuilders</t>
  </si>
  <si>
    <t>1 placa Pico / RP2040</t>
  </si>
  <si>
    <t>Preço normal anunciado</t>
  </si>
  <si>
    <t>Disponível na página</t>
  </si>
  <si>
    <t>https://www.robobuilders.com.br/placa-raspberry-pi-pico-rp2040-arm-cortex-133mhz-256kb</t>
  </si>
  <si>
    <t>Preço normal. Descrição da loja contém erros de memória; usar documentação oficial para especificações.</t>
  </si>
  <si>
    <t>01-2</t>
  </si>
  <si>
    <t>Usinainfo</t>
  </si>
  <si>
    <t>Indisponível na página</t>
  </si>
  <si>
    <t>https://www.usinainfo.com.br/placa-raspberry-pi/raspberry-pi-pico-rp2040-com-micro-usb-8372.html</t>
  </si>
  <si>
    <t>Preço normal exibido; página oferece aviso de reposição.</t>
  </si>
  <si>
    <t>01-3</t>
  </si>
  <si>
    <t>Proesi</t>
  </si>
  <si>
    <t>Não confirmado</t>
  </si>
  <si>
    <t>A confirmar</t>
  </si>
  <si>
    <t>https://www.proesi.com.br/raspberry-pi-pico-rp2040-2mb-original</t>
  </si>
  <si>
    <t>Produto localizado na pesquisa; acesso direto bloqueado (403).</t>
  </si>
  <si>
    <t>02-1</t>
  </si>
  <si>
    <t>02</t>
  </si>
  <si>
    <t>Dissipatec</t>
  </si>
  <si>
    <t>1 conjunto; TEC1-12706; cooler duplo; 12 V</t>
  </si>
  <si>
    <t>Disponível em 2 dias úteis</t>
  </si>
  <si>
    <t>https://www.dissipatec.com.br/dissipadores-termoeletrico/dissipadores-termoeletrico/dissipador-termoeletrico-cooler-duplo-peltier-12v</t>
  </si>
  <si>
    <t>Preço normal anunciado. Modelo DT104 P; capacidade térmica depende da montagem.</t>
  </si>
  <si>
    <t>02-2</t>
  </si>
  <si>
    <t>TDTEC</t>
  </si>
  <si>
    <t>1 conjunto; TEC12706; dissipador; fan 80 mm; pasta e fixadores</t>
  </si>
  <si>
    <t>https://www.tdtec.com.br/eletronicos/kit-refrigeracao-12v-peltier-12706-dissipador-cooler</t>
  </si>
  <si>
    <t>Kit com uma ventoinha; geometria diferente da opção 1.</t>
  </si>
  <si>
    <t>02-3</t>
  </si>
  <si>
    <t>Shopee / Dissipatec</t>
  </si>
  <si>
    <t>1 kit; TEC12706 + dissipador + cooler</t>
  </si>
  <si>
    <t>https://shopee.com.br/Kit-Refrigera%C3%A7%C3%A3o-12v-Peltier-12706-Dissipador-Cooler-i.369065757.18761286023</t>
  </si>
  <si>
    <t>Preço normal; Pix exibido R$ 146,30. Mesmo vendedor da opção 1, em outro canal; kit pode diferir.</t>
  </si>
  <si>
    <t>03-1</t>
  </si>
  <si>
    <t>03</t>
  </si>
  <si>
    <t>Casa da Robótica</t>
  </si>
  <si>
    <t>1 módulo BTS7960 / IBT-2</t>
  </si>
  <si>
    <t>https://www.casadarobotica.com/sensores-modulos/modulos/outros/modulo-driver-ponte-h-43a-bts7960</t>
  </si>
  <si>
    <t>Anúncio refere-se a driver de motor. Corrente comercial de 43 A não é corrente contínua garantida da montagem.</t>
  </si>
  <si>
    <t>03-2</t>
  </si>
  <si>
    <t>Vida de Silício</t>
  </si>
  <si>
    <t>Lista de compras | Protótipo CM5 / RP2040</t>
  </si>
  <si>
    <t>1 módulo BTS7960</t>
  </si>
  <si>
    <t>Bancada térmica e carga elétrica de três diodos • 20 produtos • 60 links • Consulta: 22/10/2026</t>
  </si>
  <si>
    <t>Quantidades propostas para uma bancada. Altere a quantidade para descontar itens já disponíveis no laboratório. A fonte de bancada está incluída; a ponte H é opcional, com quantidade zero.</t>
  </si>
  <si>
    <t>O conjunto TEC é uma opção de ensaio. A equivalência com o laser depende do modelo e das especificações térmicas. A placa R6 de controle do MZM mantém seu projeto de alimentação de 15 V.</t>
  </si>
  <si>
    <t>Subtotal dos itens cotados</t>
  </si>
  <si>
    <t>https://vidadesilicio.com.br/produto/modulo-driver-ponte-h-bts7960-43a/</t>
  </si>
  <si>
    <t>Preço anunciado; fora de estoque.</t>
  </si>
  <si>
    <t>03-3</t>
  </si>
  <si>
    <t>Saravati</t>
  </si>
  <si>
    <t>Itens com preço pendente</t>
  </si>
  <si>
    <t>https://www.saravati.com.br/modulo-driver-ponte-h-bts7960.html</t>
  </si>
  <si>
    <t>Sem frete. Não é um orçamento final.</t>
  </si>
  <si>
    <t>Produto localizado; acesso direto bloqueado (403).</t>
  </si>
  <si>
    <t>Azul: quantidade e opção de compra editáveis. Escolha 1, 2 ou 3 para atualizar embalagem e preço. Campo vazio em Preço significa “consultar”; não significa custo zero. Detalhes das ofertas na aba Cotações.</t>
  </si>
  <si>
    <t>04-1</t>
  </si>
  <si>
    <t>04</t>
  </si>
  <si>
    <t>Malta Suprimentos</t>
  </si>
  <si>
    <t>1 sonda inox 5 × 25 mm; 10 kΩ; 1%; STB3950</t>
  </si>
  <si>
    <t>Produto / especificação</t>
  </si>
  <si>
    <t>Qtd. a comprar</t>
  </si>
  <si>
    <t>Unidade</t>
  </si>
  <si>
    <t>https://www.maltasuprimentos.com.br/sensor-de-temperatura-ntc-10k-1-5x25mm-inox-msa-stb3950</t>
  </si>
  <si>
    <t>Opção
1, 2 ou 3</t>
  </si>
  <si>
    <t>Preço normal; Pix R$ 23,94. Fixação da sonda difere de um sensor de olhal.</t>
  </si>
  <si>
    <t>Qtd. por lote</t>
  </si>
  <si>
    <t>Lotes</t>
  </si>
  <si>
    <t>04-2</t>
  </si>
  <si>
    <t>Preço / lote</t>
  </si>
  <si>
    <t>Subtotal cotado</t>
  </si>
  <si>
    <t>Easytronics</t>
  </si>
  <si>
    <t>1 NTC 10 kΩ / B3950; olhal 5 mm</t>
  </si>
  <si>
    <t>Link 1</t>
  </si>
  <si>
    <t>Link 2</t>
  </si>
  <si>
    <t>Link 3</t>
  </si>
  <si>
    <t>Para que serve / critério de escolha</t>
  </si>
  <si>
    <t>https://www.easytronics.com.br/sensor-de-temperatura-termistor-ntc-10k-b3950-olhal-5mm</t>
  </si>
  <si>
    <t>04-3</t>
  </si>
  <si>
    <t>Raspberry Pi Pico — RP2040</t>
  </si>
  <si>
    <t>Liohm</t>
  </si>
  <si>
    <t>1 NTC 10 kΩ / B3950; olhal 3 mm; cabo 1,5 m</t>
  </si>
  <si>
    <t>placa</t>
  </si>
  <si>
    <t>https://loja.liohm.com.br/produtos/sensor-ntc-10k-olhal-furo-3-mm-cabo-pp-2x26-awg-1500-mm/</t>
  </si>
  <si>
    <t>Preço exibido; disponibilidade não inequívoca no conteúdo consultado.</t>
  </si>
  <si>
    <t>05-1</t>
  </si>
  <si>
    <t>05</t>
  </si>
  <si>
    <t>A2 Robotics</t>
  </si>
  <si>
    <t>1 módulo ADS1115; 4 entradas multiplexadas</t>
  </si>
  <si>
    <t>https://www.a2robotics.com.br/modulo-conversor-analogico-adc-ads1115</t>
  </si>
  <si>
    <t>Preço normal; Pix R$ 15,39.</t>
  </si>
  <si>
    <t>05-2</t>
  </si>
  <si>
    <t>Ardushop</t>
  </si>
  <si>
    <t>1 módulo ADS1115</t>
  </si>
  <si>
    <t>https://www.ardushop.com.br/modulo-conversor-analogico-digital-ads1115-16bits-4-canais</t>
  </si>
  <si>
    <t>Página consultada; preço não consolidado.</t>
  </si>
  <si>
    <t>05-3</t>
  </si>
  <si>
    <t>https://www.saravati.com.br/modulo-conversor-analogico-digital-ads1115.html</t>
  </si>
  <si>
    <t>06-1</t>
  </si>
  <si>
    <t>06</t>
  </si>
  <si>
    <t>Smart Kits</t>
  </si>
  <si>
    <t>Pacote com 10 resistores; 1/4 W; 1%</t>
  </si>
  <si>
    <t>Compra habilitada na página</t>
  </si>
  <si>
    <t>Uma placa ativa e uma reserva. USB alimenta a lógica; não exige fonte externa de 3,3 V. Escolher Pico com RP2040, não Pico 2.</t>
  </si>
  <si>
    <t>https://www.smartkits.com.br/resistor-10k-14w-1-10-unidades</t>
  </si>
  <si>
    <t>Preço do pacote, não de cada resistor.</t>
  </si>
  <si>
    <t>06-2</t>
  </si>
  <si>
    <t>Conjunto térmico: TEC + dissipador + ventilação</t>
  </si>
  <si>
    <t>1 resistor; 1/4 W; 1%</t>
  </si>
  <si>
    <t>conjunto</t>
  </si>
  <si>
    <t>https://www.proesi.com.br/resistor-precisao-1-1-4w-10k</t>
  </si>
  <si>
    <t>Link localizado; preço e estoque não confirmados.</t>
  </si>
  <si>
    <t>06-3</t>
  </si>
  <si>
    <t>Achei Componentes</t>
  </si>
  <si>
    <t>Pacote com 10 resistores; 0,6 W; 1%</t>
  </si>
  <si>
    <t>https://www.acheicomponentes.com.br/resistor/kit-10-pecas-resistor-10k-1-0-6w-axial</t>
  </si>
  <si>
    <t>07-1</t>
  </si>
  <si>
    <t>07</t>
  </si>
  <si>
    <t>Pacote com 10 capacitores; disco; marcação 104</t>
  </si>
  <si>
    <t>https://www.acheicomponentes.com.br/capacitores/kit-10-pecas-capacitor-ceramico-disco-100nf-100k-50v-104</t>
  </si>
  <si>
    <t>Preço do pacote. 100 nF = 0,1 µF.</t>
  </si>
  <si>
    <t>Pastilha TEC1-12706 para bancada didática. O kit reúne TEC, dissipação e ventilação. Não foi comprovada equivalência com o TEC do laser.</t>
  </si>
  <si>
    <t>07-2</t>
  </si>
  <si>
    <t>Ponte H BTS7960 — estudo de acionamento</t>
  </si>
  <si>
    <t>Eletrogate</t>
  </si>
  <si>
    <t>módulo</t>
  </si>
  <si>
    <t>1 capacitor cerâmico 100 nF / 50 V</t>
  </si>
  <si>
    <t>https://www.eletrogate.com/capacitor-disco-ceramico-100nf-x-50v</t>
  </si>
  <si>
    <t>Página consultada; preço do item não apareceu no conteúdo retornado.</t>
  </si>
  <si>
    <t>07-3</t>
  </si>
  <si>
    <t>MakerHero</t>
  </si>
  <si>
    <t>https://www.makerhero.com/produto/capacitor-ceramico-100nf-50v/</t>
  </si>
  <si>
    <t>08-1</t>
  </si>
  <si>
    <t>08</t>
  </si>
  <si>
    <t>1 resistor de porcelana; 10 Ω / 20 W</t>
  </si>
  <si>
    <t>Opcional, fora da compra base. Serve para estudar reversão e potência. Uso com TEC exige projeto do filtro e da malha; não é controlador de laser pronto.</t>
  </si>
  <si>
    <t>Sensor NTC 10 kΩ — B3950</t>
  </si>
  <si>
    <t>https://www.proesi.com.br/resistor-de-porcelana-20w-10r</t>
  </si>
  <si>
    <t>Especificação confirmada na página; preço não exibido.</t>
  </si>
  <si>
    <t>sensor</t>
  </si>
  <si>
    <t>08-2</t>
  </si>
  <si>
    <t>Equitronic</t>
  </si>
  <si>
    <t>1 resistor de fio axial; 10 Ω / 20 W; 9 × 53 mm</t>
  </si>
  <si>
    <t>https://loja.equitronic.com.br/componentes-eletronicos/resistor/10w/resistor-20w-10r-fio-knp-9x53mm</t>
  </si>
  <si>
    <t>Formato diferente da opção 1; acesso direto bloqueado (403).</t>
  </si>
  <si>
    <t>08-3</t>
  </si>
  <si>
    <t>Mercado Livre</t>
  </si>
  <si>
    <t>Pacote com 4 resistores de porcelana; 10 Ω / 20 W</t>
  </si>
  <si>
    <t>https://www.mercadolivre.com.br/kit-04-resistor-porcelana-20w-10r-5-mr4352/up/MLBU1155701161</t>
  </si>
  <si>
    <t>09-1</t>
  </si>
  <si>
    <t>09</t>
  </si>
  <si>
    <t>Só Tudo</t>
  </si>
  <si>
    <t>1 módulo D4184; potência 5–36 V; comando 3,3–20 V</t>
  </si>
  <si>
    <t>Entrega imediata</t>
  </si>
  <si>
    <t>Um sensor acompanha a carga térmica e outro o dissipador. O formato físico das alternativas muda; prever fixação e bom contato térmico.</t>
  </si>
  <si>
    <t>https://www.sotudo.com.br/produto/modulo-controlador-pwm-de-alta-potencia-d4184</t>
  </si>
  <si>
    <t>Preço anunciado. Dimensionamento proposto para aquecedor de 0,5 A; não usar 30 A/400 W como garantia da placa.</t>
  </si>
  <si>
    <t>ADC ADS1115 em módulo I²C</t>
  </si>
  <si>
    <t>09-2</t>
  </si>
  <si>
    <t>Curto Circuito</t>
  </si>
  <si>
    <t>1 módulo D4184 duplo; lógica 3,3–20 V</t>
  </si>
  <si>
    <t>https://curtocircuito.com.br/modulo-mosfet-duplo-40v-50a-400w-d4184.html</t>
  </si>
  <si>
    <t>Página consultada. Conferir disponibilidade da versão de dois MOSFETs.</t>
  </si>
  <si>
    <t>09-3</t>
  </si>
  <si>
    <t>AutoCore Robótica</t>
  </si>
  <si>
    <t>1 módulo D4184; lógica 3,3–20 V</t>
  </si>
  <si>
    <t>https://www.autocorerobotica.com.br/modulo-controlador-pwm-d4184-30a-400w-36v</t>
  </si>
  <si>
    <t>Especificação do sinal de comando localizada; preço não consolidado.</t>
  </si>
  <si>
    <t>10-1</t>
  </si>
  <si>
    <t>10</t>
  </si>
  <si>
    <t>Lê os divisores dos dois NTCs e a tensão do shunt. Alimentar em 3,3 V e manter os pull-ups I²C em 3,3 V. Não substitui a aquisição do MZM.</t>
  </si>
  <si>
    <t>Pacote com 10 diodos 1N5408</t>
  </si>
  <si>
    <t>Resistor 10 kΩ, 1%, PTH</t>
  </si>
  <si>
    <t>peça</t>
  </si>
  <si>
    <t>https://www.eletrogate.com/diodo-1n5408</t>
  </si>
  <si>
    <t>O orçamento inclui um pacote de 10, apesar de a necessidade ser 6.</t>
  </si>
  <si>
    <t>10-2</t>
  </si>
  <si>
    <t>Baú da Eletrônica</t>
  </si>
  <si>
    <t>1 diodo 1N5408</t>
  </si>
  <si>
    <t>https://www.baudaeletronica.com.br/produto/diodo-1n5408.html</t>
  </si>
  <si>
    <t>10-3</t>
  </si>
  <si>
    <t>https://www.a2robotics.com.br/diodo-1n5408</t>
  </si>
  <si>
    <t>11-1</t>
  </si>
  <si>
    <t>11</t>
  </si>
  <si>
    <t>Dois resistores formam os divisores de tensão dos NTCs; o restante fica de reserva. Aceitar potência de 1/4 W ou superior.</t>
  </si>
  <si>
    <t>Capacitor cerâmico 100 nF, 50 V, PTH</t>
  </si>
  <si>
    <t>1 resistor axial; 1 Ω / 5 W / 5%</t>
  </si>
  <si>
    <t>https://www.acheicomponentes.com.br/resistor/resistor-5w/resistor-1r-5w-5-axial</t>
  </si>
  <si>
    <t>Preço unitário.</t>
  </si>
  <si>
    <t>11-2</t>
  </si>
  <si>
    <t>RS Componentes</t>
  </si>
  <si>
    <t>1 resistor de fio; 1 Ω / 5 W / 5%</t>
  </si>
  <si>
    <t>https://www.rscomponentes.com/resistor-fio-5w-1r-5-knp-fita-acel</t>
  </si>
  <si>
    <t>11-3</t>
  </si>
  <si>
    <t>Intertronix</t>
  </si>
  <si>
    <t>1 resistor; 1 Ω / 5 W</t>
  </si>
  <si>
    <t>Desacoplamento e filtragem local da parte de medição. Pacote inclui reserva. Não é o filtro de potência de uma ponte H para TEC.</t>
  </si>
  <si>
    <t>Aquecedor resistivo: 10 Ω, 20 W</t>
  </si>
  <si>
    <t>https://www.intertronix.com.br/produtos/resistor-1r-5w-mrptdrdr/</t>
  </si>
  <si>
    <t>resistor</t>
  </si>
  <si>
    <t>12-1</t>
  </si>
  <si>
    <t>12</t>
  </si>
  <si>
    <t>1 XL4015 CC/CV com ajustes independentes</t>
  </si>
  <si>
    <t>https://www.casadarobotica.com/fonte-e-conversores/fontes/reguladores-de-tensao/regulador-com-ajuste-de-corrente-e-tensao-xl4015-5a-dc-dc</t>
  </si>
  <si>
    <t>Preço normal; Pix/à vista R$ 16,14. Não dimensionar operação contínua pela corrente de pico anunciada.</t>
  </si>
  <si>
    <t>12-2</t>
  </si>
  <si>
    <t>1 XL4015 CC/CV; anúncio indica 0,2–3 A</t>
  </si>
  <si>
    <t>https://www.usinainfo.com.br/regulador-de-tensao/regulador-de-tensao-e-corrente-ajustavel-xl4015-dc-step-down-saida-125-a-32vdc-02-a-3a-5880.html</t>
  </si>
  <si>
    <t>Produz calor para imitar a dissipação do laser. Ensaio inicial proposto: 5 V, 0,5 A e 2,5 W calculados. Fixar à carga com isolamento elétrico.</t>
  </si>
  <si>
    <t>12-3</t>
  </si>
  <si>
    <t>Módulo MOSFET D4184 com entrada 3,3 V</t>
  </si>
  <si>
    <t>1 XL4015 CC/CV; versão vermelha</t>
  </si>
  <si>
    <t>https://www.eletrogate.com/modulo-regulador-de-tensao-e-corrente-step-down-xl4015-5a-vermelho</t>
  </si>
  <si>
    <t>Página consultada; preço do produto não apareceu. Não confundir com XL4015 apenas CV.</t>
  </si>
  <si>
    <t>13-1</t>
  </si>
  <si>
    <t>13</t>
  </si>
  <si>
    <t>TEC BIG / Sunshine</t>
  </si>
  <si>
    <t>1 fonte Sunshine P-3005D; selecionar entrada de rede</t>
  </si>
  <si>
    <t>Disponibilidade imediata</t>
  </si>
  <si>
    <t>https://www.tecbig.com.br/ferramentas-laboratorio/fonte-bancada/fonte-de-alimentacao-digital-para-bancada-eletronica-3-digitos-30v-5a-p-3005d</t>
  </si>
  <si>
    <t>Preço normal; à vista R$ 397,70. Anúncio apresenta informação divergente sobre bivolt: confirmar variante 110/220 V.</t>
  </si>
  <si>
    <t>13-2</t>
  </si>
  <si>
    <t>RF4 Ferramentas</t>
  </si>
  <si>
    <t>1 fonte RF4 RF-3005D FIS; CC/CV; modelo diferente</t>
  </si>
  <si>
    <t>https://rf4ferramentas.com.br/produto/fonte-de-alimentacao-rf4-rf-3005d-fis</t>
  </si>
  <si>
    <t>Preço exibido. Conferir conteúdo do conjunto e disponibilidade; funções adicionais não são necessárias ao ensaio.</t>
  </si>
  <si>
    <t>Controla por PWM a potência do aquecedor. Escolher a versão de comando 3,3–20 V; há módulos optoacoplados semelhantes que exigem 5 V.</t>
  </si>
  <si>
    <t>13-3</t>
  </si>
  <si>
    <t>Diodo 1N5408 — carga de três diodos</t>
  </si>
  <si>
    <t>Shopee / Yaxun</t>
  </si>
  <si>
    <t>diodo</t>
  </si>
  <si>
    <t>1 fonte Yaxun YX-3005D; modelo diferente</t>
  </si>
  <si>
    <t>https://shopee.com.br/FONTE-DE-ALIMENTA%C3%87%C3%83O-DE-BANCADA-REGUL%C3%81VEL-DE-0-30V-E-0-5A-YA-XUN-YAXUN-YX-3005D-BIVOLT.-i.329155987.20298022421</t>
  </si>
  <si>
    <t>14-1</t>
  </si>
  <si>
    <t>14</t>
  </si>
  <si>
    <t>1 protoboard; 830 pontos</t>
  </si>
  <si>
    <t>https://www.casadarobotica.com/prototipagem-e-ferramentas/prototipagem/protoboard/protoboard-830-furos-pontos</t>
  </si>
  <si>
    <t>Preço normal; à vista R$ 11,39.</t>
  </si>
  <si>
    <t>Três diodos em série formam a carga elétrica; três são reserva. A carga não produz luz nem reproduz a curva óptica do laser.</t>
  </si>
  <si>
    <t>14-2</t>
  </si>
  <si>
    <t>Resistor shunt de 1 Ω, 5 W</t>
  </si>
  <si>
    <t>https://www.eletrogate.com/protoboard-830-pontos</t>
  </si>
  <si>
    <t>14-3</t>
  </si>
  <si>
    <t>Mult Comercial</t>
  </si>
  <si>
    <t>1 protoboard MB-102; 830 pontos</t>
  </si>
  <si>
    <t>https://www.multcomercial.com.br/protoboard-830-pontos-mb-102.html</t>
  </si>
  <si>
    <t>15-1</t>
  </si>
  <si>
    <t>15</t>
  </si>
  <si>
    <t>1 kit; 120 jumpers de 20 cm; 40 de cada tipo</t>
  </si>
  <si>
    <t>Um shunt no retorno da carga permite calcular I = V/R; outro fica de reserva. A tolerância de 5% limita a exatidão sem caracterização do valor real.</t>
  </si>
  <si>
    <t>XL4015 com ajuste de tensão E corrente</t>
  </si>
  <si>
    <t>https://www.makerhero.com/produto/kit-jumpers-20cm-x120-unidades/</t>
  </si>
  <si>
    <t>Preço normal; Pix R$ 21,75.</t>
  </si>
  <si>
    <t>15-2</t>
  </si>
  <si>
    <t>1 kit; 120 jumpers de 20 cm; MM/MF/FF</t>
  </si>
  <si>
    <t>https://www.casadarobotica.com/prototipagem-ferramentas/prototipagem/cabos/kit-120-cabo-jumper-de-20cm-40-macho-x-femea-40-macho-x-macho-e-40-femea-x-femea-para-arduino</t>
  </si>
  <si>
    <t>Conjunto de 120 unidades confirmado; preço não consolidado.</t>
  </si>
  <si>
    <t>15-3</t>
  </si>
  <si>
    <t>Shopee</t>
  </si>
  <si>
    <t>https://shopee.com.br/Jumpers-20cm-2.54mm-Kit-MM-MF-FF-120-Unidades-i.304791559.8240386378</t>
  </si>
  <si>
    <t>Três ramos: TEC com ajuste DC manual; aquecedor em 5 V; carga de diodos com corrente limitada. Comprar versão CC/CV, não módulo de um só trimpot.</t>
  </si>
  <si>
    <t>16-1</t>
  </si>
  <si>
    <t>Fonte de bancada ajustável 0–30 V / 5 A</t>
  </si>
  <si>
    <t>16</t>
  </si>
  <si>
    <t>fonte</t>
  </si>
  <si>
    <t>1 cabo micro-USB para dados</t>
  </si>
  <si>
    <t>https://www.autocorerobotica.com.br/cabo-de-dados-micro-usb-emborrachado-azul</t>
  </si>
  <si>
    <t>Preço normal; Pix R$ 9,40.</t>
  </si>
  <si>
    <t>16-2</t>
  </si>
  <si>
    <t>1 cabo micro-USB para dados; 30 cm</t>
  </si>
  <si>
    <t>https://www.eletrogate.com/cabo-micro-usb-azul-30-cm</t>
  </si>
  <si>
    <t>16-3</t>
  </si>
  <si>
    <t>RoboCore</t>
  </si>
  <si>
    <t>1 cabo micro-USB para dados; 80 cm</t>
  </si>
  <si>
    <t>Alimenta o ensaio em 12 V com limitação de corrente. Excluir da compra se o laboratório já tiver uma. Não representa operação do TEC em sua potência máxima.</t>
  </si>
  <si>
    <t>Indisponível na pesquisa</t>
  </si>
  <si>
    <t>https://www.robocore.net/cabo/cabo-usb-micro-b</t>
  </si>
  <si>
    <t>Protoboard 830 pontos</t>
  </si>
  <si>
    <t>Categoria consultada marcava esgotado; confirmar reposição.</t>
  </si>
  <si>
    <t>17-1</t>
  </si>
  <si>
    <t>17</t>
  </si>
  <si>
    <t>1 barra reta; 40 pinos; passo 2,54 mm</t>
  </si>
  <si>
    <t>https://www.eletrogate.com/barra-de-pinos-macho-1x40-180</t>
  </si>
  <si>
    <t>Preço normal; Pix R$ 0,76.</t>
  </si>
  <si>
    <t>17-2</t>
  </si>
  <si>
    <t>1 barra reta macho; 40 pinos</t>
  </si>
  <si>
    <t>https://www.multcomercial.com.br/barra-de-pinos-1x40-macho-bmec040-1e.html</t>
  </si>
  <si>
    <t>17-3</t>
  </si>
  <si>
    <t>Montagem dos NTCs, divisores e sinais de baixa corrente. TEC, aquecedor e corrente dos diodos devem usar conexões soldadas ou bornes apropriados.</t>
  </si>
  <si>
    <t>Kit de jumpers MM + MF + FF</t>
  </si>
  <si>
    <t>kit</t>
  </si>
  <si>
    <t>https://www.usinainfo.com.br/barras-de-pinos/barra-de-pinos-macho-1x40-vias-com-passo-de-254mm-180-preto-2748.html</t>
  </si>
  <si>
    <t>18-1</t>
  </si>
  <si>
    <t>18</t>
  </si>
  <si>
    <t>Azupa</t>
  </si>
  <si>
    <t>2 m vermelho + 2 m preto = 4 m</t>
  </si>
  <si>
    <t>https://www.azupa.com.br/cabo-flexivel-de-silicone-18awg-2m-preto-e-vermelho</t>
  </si>
  <si>
    <t>Preço do conjunto; Pix R$ 80,66. Um lote fornece mais fio que a necessidade mínima.</t>
  </si>
  <si>
    <t>18-2</t>
  </si>
  <si>
    <t>Ligações dos sinais entre Pico, ADC e módulos. Apenas sinais e baixa corrente; não usar jumpers Dupont nos ramos de potência.</t>
  </si>
  <si>
    <t>Action Modelismo</t>
  </si>
  <si>
    <t>1 m vermelho + 1 m preto = 2 m</t>
  </si>
  <si>
    <t>Cabo USB-A → micro-USB com dados</t>
  </si>
  <si>
    <t>cabo</t>
  </si>
  <si>
    <t>https://www.actionmodelismo.com.br/parfiocabodecobrerevestidocomsilicone18awg23mmvermelhoepreto1metroflyermodflmx800018</t>
  </si>
  <si>
    <t>18-3</t>
  </si>
  <si>
    <t>https://shopee.com.br/Fio-Silicone-18awg-%281-Mt-Preto-1-Mt-Vermelho%29-i.393645533.21097457506</t>
  </si>
  <si>
    <t>19-1</t>
  </si>
  <si>
    <t>19</t>
  </si>
  <si>
    <t>1 porta-fusível de fio; 5 × 20 mm</t>
  </si>
  <si>
    <t>https://www.eletrogate.com/porta-fusivel-meio-de-fio-5x20</t>
  </si>
  <si>
    <t>Preço normal; Pix R$ 1,80.</t>
  </si>
  <si>
    <t>Programação e alimentação das duas Pico. Se a placa adquirida tiver USB-C, o cabo precisa acompanhar essa versão.</t>
  </si>
  <si>
    <t>19-2</t>
  </si>
  <si>
    <t>Barra de pinos macho 1 × 40; 2,54 mm</t>
  </si>
  <si>
    <t>barra</t>
  </si>
  <si>
    <t>1 porta-fusível 5 × 20 mm</t>
  </si>
  <si>
    <t>https://www.baudaeletronica.com.br/produto/porta-fusivel-pequeno-5x20-preto.html</t>
  </si>
  <si>
    <t>19-3</t>
  </si>
  <si>
    <t>Duas barras atendem duas Pico sem pinos soldados; a terceira é reserva para o ADC. Dividir cada barra em duas de 20 pinos para uma Pico.</t>
  </si>
  <si>
    <t>Fio de cobre flexível 18 AWG, vermelho/preto</t>
  </si>
  <si>
    <t>https://www.autocorerobotica.com.br/porta-fusivel-5x20-meio-fio</t>
  </si>
  <si>
    <t>m total</t>
  </si>
  <si>
    <t>20-1</t>
  </si>
  <si>
    <t>20</t>
  </si>
  <si>
    <t>Plenobras</t>
  </si>
  <si>
    <t>1 fusível rápido; 3 A; 5 × 20 mm</t>
  </si>
  <si>
    <t>https://www.plenobras.com.br/646a5966d496504d21dd9f6b/fusivel-vidro-pequeno-3a-5x20-mm-250vca</t>
  </si>
  <si>
    <t>Preço unitário. Anúncio informa 250 VCA; confirmar tensão/capacidade de interrupção em CC do lote.</t>
  </si>
  <si>
    <t>20-2</t>
  </si>
  <si>
    <t>1 fusível Fusibras rápido; 3 A; 5 × 20 mm</t>
  </si>
  <si>
    <t>Previsão mínima de 1 m por cor para os ramos de baixa tensão. As ofertas têm comprimentos diferentes; cálculo considera metros totais.</t>
  </si>
  <si>
    <t>https://www.proesi.com.br/fusivel-vidro-fusibras-20agf-5x20mm-3a-rapido</t>
  </si>
  <si>
    <t>Porta-fusível de fio, 5 × 20 mm</t>
  </si>
  <si>
    <t>Página técnica consultada; preço não exibido.</t>
  </si>
  <si>
    <t>20-3</t>
  </si>
  <si>
    <t>Dimensional</t>
  </si>
  <si>
    <t>1 fusível Dekfuse rápido; 3 A; 5 × 20 mm</t>
  </si>
  <si>
    <t>https://www.dimensional.com.br/fusivel-vidro-5x20mm-rapida-250v-3a-v20agkf-dekfuse/p</t>
  </si>
  <si>
    <t>Proteção em série com os ramos de potência do protótipo. Usar porta-fusível isolado; não é componente para inserir na protoboard.</t>
  </si>
  <si>
    <t>Fusível rápido 3 A, 5 × 20 mm</t>
  </si>
  <si>
    <t>Dois em uso e três reservas para ensaios com corrente limitada. Valor preliminar dos ramos; não permite explorar 6 A do TEC. Confirmar aplicação em CC.</t>
  </si>
  <si>
    <t>Compra inicial: a ponte H (03) está excluída. O TEC é acionado em corrente contínua com ajuste manual no XL4015; a malha automática do TEC ainda requer um driver e filtro dimensionados para o laser.</t>
  </si>
  <si>
    <t>Como comparar: cada linha usa apenas uma oferta. A quantidade de lotes é arredondada para cima. Exemplo: 6 diodos necessários e pacote de 10 → comprar 1 pacote. Não somar os três fornecedores.</t>
  </si>
  <si>
    <t>Aba Uso e critérios: sequência dos ensaios, alimentação, distinção entre carga elétrica e térmica, limites do conjunto proposto e fontes técnicas.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</si>
</sst>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 #,##0.00;[Red](&quot;R$&quot; #,##0.00);&quot;—&quot;"/>
  </numFmts>
  <fonts count="17">
    <font>
      <sz val="11.0"/>
      <color rgb="FF000000"/>
      <name val="Carlito"/>
      <scheme val="minor"/>
    </font>
    <font>
      <sz val="10.0"/>
      <color rgb="FF202F3F"/>
      <name val="Arial"/>
    </font>
    <font>
      <b/>
      <sz val="19.0"/>
      <color rgb="FF202F3F"/>
      <name val="Arial"/>
    </font>
    <font>
      <sz val="11.0"/>
      <color rgb="FF586879"/>
      <name val="Arial"/>
    </font>
    <font>
      <b/>
      <sz val="10.0"/>
      <color rgb="FFFFFFFF"/>
      <name val="Arial"/>
    </font>
    <font/>
    <font>
      <b/>
      <sz val="11.0"/>
      <color rgb="FF16324F"/>
      <name val="Arial"/>
    </font>
    <font>
      <sz val="11.0"/>
      <color rgb="FF202F3F"/>
      <name val="Arial"/>
    </font>
    <font>
      <sz val="10.0"/>
      <color rgb="FF1764A0"/>
      <name val="Arial"/>
    </font>
    <font>
      <sz val="9.0"/>
      <color rgb="FF1764A0"/>
      <name val="Arial"/>
    </font>
    <font>
      <b/>
      <sz val="10.0"/>
      <color rgb="FF202F3F"/>
      <name val="Arial"/>
    </font>
    <font>
      <b/>
      <sz val="11.0"/>
      <color rgb="FF202F3F"/>
      <name val="Arial"/>
    </font>
    <font>
      <b/>
      <sz val="15.0"/>
      <color rgb="FF16324F"/>
      <name val="Arial"/>
    </font>
    <font>
      <sz val="10.0"/>
      <color rgb="FF586879"/>
      <name val="Arial"/>
    </font>
    <font>
      <sz val="11.0"/>
      <color rgb="FF1764A0"/>
      <name val="Arial"/>
    </font>
    <font>
      <u/>
      <sz val="10.0"/>
      <color rgb="FF1764A0"/>
      <name val="Arial"/>
    </font>
    <font>
      <u/>
      <sz val="10.0"/>
      <color rgb="FF1764A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6324F"/>
        <bgColor rgb="FF16324F"/>
      </patternFill>
    </fill>
    <fill>
      <patternFill patternType="solid">
        <fgColor rgb="FFF5F7FA"/>
        <bgColor rgb="FFF5F7FA"/>
      </patternFill>
    </fill>
    <fill>
      <patternFill patternType="solid">
        <fgColor rgb="FFECF5FF"/>
        <bgColor rgb="FFECF5FF"/>
      </patternFill>
    </fill>
  </fills>
  <borders count="9">
    <border/>
    <border>
      <left/>
      <right/>
      <top/>
      <bottom style="thin">
        <color rgb="FFDAE2E8"/>
      </bottom>
    </border>
    <border>
      <left/>
      <top/>
      <bottom style="thin">
        <color rgb="FFDAE2E8"/>
      </bottom>
    </border>
    <border>
      <top/>
      <bottom style="thin">
        <color rgb="FFDAE2E8"/>
      </bottom>
    </border>
    <border>
      <right/>
      <top/>
      <bottom style="thin">
        <color rgb="FFDAE2E8"/>
      </bottom>
    </border>
    <border>
      <top style="thin">
        <color rgb="FFDAE2E8"/>
      </top>
      <bottom style="thin">
        <color rgb="FFDAE2E8"/>
      </bottom>
    </border>
    <border>
      <left/>
      <right/>
      <top style="thin">
        <color rgb="FFDAE2E8"/>
      </top>
      <bottom style="thin">
        <color rgb="FFDAE2E8"/>
      </bottom>
    </border>
    <border>
      <left/>
      <top style="thin">
        <color rgb="FFDAE2E8"/>
      </top>
      <bottom style="thin">
        <color rgb="FFDAE2E8"/>
      </bottom>
    </border>
    <border>
      <right/>
      <top style="thin">
        <color rgb="FFDAE2E8"/>
      </top>
      <bottom style="thin">
        <color rgb="FFDAE2E8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ill="1" applyFont="1">
      <alignment shrinkToFit="0" vertical="center" wrapText="1"/>
    </xf>
    <xf borderId="2" fillId="2" fontId="4" numFmtId="0" xfId="0" applyAlignment="1" applyBorder="1" applyFill="1" applyFont="1">
      <alignment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5" fillId="0" fontId="5" numFmtId="0" xfId="0" applyBorder="1" applyFont="1"/>
    <xf borderId="6" fillId="3" fontId="6" numFmtId="0" xfId="0" applyAlignment="1" applyBorder="1" applyFill="1" applyFont="1">
      <alignment shrinkToFit="0" vertical="center" wrapText="1"/>
    </xf>
    <xf borderId="7" fillId="3" fontId="7" numFmtId="0" xfId="0" applyAlignment="1" applyBorder="1" applyFill="1" applyFont="1">
      <alignment shrinkToFit="0" vertical="center" wrapText="1"/>
    </xf>
    <xf borderId="8" fillId="0" fontId="5" numFmtId="0" xfId="0" applyBorder="1" applyFont="1"/>
    <xf borderId="1" fillId="2" fontId="4" numFmtId="0" xfId="0" applyAlignment="1" applyBorder="1" applyFill="1" applyFont="1">
      <alignment horizontal="left" readingOrder="0" shrinkToFit="0" vertical="center" wrapText="1"/>
    </xf>
    <xf borderId="5" fillId="0" fontId="1" numFmtId="0" xfId="0" applyAlignment="1" applyBorder="1" applyFont="1">
      <alignment shrinkToFit="0" vertical="center" wrapText="1"/>
    </xf>
    <xf borderId="6" fillId="4" fontId="8" numFmtId="0" xfId="0" applyAlignment="1" applyBorder="1" applyFill="1" applyFont="1">
      <alignment shrinkToFit="0" vertical="center" wrapText="1"/>
    </xf>
    <xf borderId="6" fillId="4" fontId="8" numFmtId="164" xfId="0" applyAlignment="1" applyBorder="1" applyFill="1" applyFont="1" applyNumberFormat="1">
      <alignment shrinkToFit="0" vertical="center" wrapText="1"/>
    </xf>
    <xf borderId="5" fillId="0" fontId="9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12" numFmtId="164" xfId="0" applyAlignment="1" applyFont="1" applyNumberFormat="1">
      <alignment horizontal="left" shrinkToFit="0" vertical="center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6" fillId="4" fontId="14" numFmtId="0" xfId="0" applyAlignment="1" applyBorder="1" applyFill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164" xfId="0" applyAlignment="1" applyBorder="1" applyFont="1" applyNumberFormat="1">
      <alignment horizontal="right" shrinkToFit="0" vertical="center" wrapText="1"/>
    </xf>
    <xf borderId="5" fillId="0" fontId="15" numFmtId="0" xfId="0" applyAlignment="1" applyBorder="1" applyFont="1">
      <alignment shrinkToFit="0" vertical="center" wrapText="1"/>
    </xf>
    <xf borderId="6" fillId="3" fontId="1" numFmtId="0" xfId="0" applyAlignment="1" applyBorder="1" applyFill="1" applyFont="1">
      <alignment shrinkToFit="0" vertical="center" wrapText="1"/>
    </xf>
    <xf borderId="6" fillId="3" fontId="1" numFmtId="0" xfId="0" applyAlignment="1" applyBorder="1" applyFill="1" applyFont="1">
      <alignment horizontal="center" shrinkToFit="0" vertical="center" wrapText="1"/>
    </xf>
    <xf borderId="6" fillId="3" fontId="1" numFmtId="164" xfId="0" applyAlignment="1" applyBorder="1" applyFill="1" applyFont="1" applyNumberFormat="1">
      <alignment horizontal="right" shrinkToFit="0" vertical="center" wrapText="1"/>
    </xf>
    <xf borderId="6" fillId="3" fontId="16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8A4F00"/>
      </font>
      <fill>
        <patternFill patternType="solid">
          <fgColor rgb="FFFFF1CC"/>
          <bgColor rgb="FFFFF1CC"/>
        </patternFill>
      </fill>
      <border/>
    </dxf>
    <dxf>
      <font/>
      <fill>
        <patternFill patternType="solid">
          <fgColor rgb="FFFFF1CC"/>
          <bgColor rgb="FFFFF1CC"/>
        </patternFill>
      </fill>
      <border/>
    </dxf>
  </dxfs>
  <tableStyles count="2">
    <tableStyle count="4" pivot="0" name="Cotações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Compras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M29" displayName="ListaCompras" name="ListaCompras" id="2">
  <tableColumns count="13">
    <tableColumn name="ID" id="1"/>
    <tableColumn name="Produto / especificação" id="2"/>
    <tableColumn name="Qtd. a comprar" id="3"/>
    <tableColumn name="Unidade" id="4"/>
    <tableColumn name="Opção_x000a_1, 2 ou 3" id="5"/>
    <tableColumn name="Qtd. por lote" id="6"/>
    <tableColumn name="Lotes" id="7"/>
    <tableColumn name="Preço / lote" id="8"/>
    <tableColumn name="Subtotal cotado" id="9"/>
    <tableColumn name="Link 1" id="10"/>
    <tableColumn name="Link 2" id="11"/>
    <tableColumn name="Link 3" id="12"/>
    <tableColumn name="Para que serve / critério de escolha" id="13"/>
  </tableColumns>
  <tableStyleInfo name="Compras-style" showColumnStripes="0" showFirstColumn="1" showLastColumn="1" showRowStripes="1"/>
</table>
</file>

<file path=xl/tables/table2.xml><?xml version="1.0" encoding="utf-8"?>
<table xmlns="http://schemas.openxmlformats.org/spreadsheetml/2006/main" ref="A7:K67" displayName="Ofertas" name="Ofertas" id="1">
  <tableColumns count="11">
    <tableColumn name="Chave" id="1"/>
    <tableColumn name="ID" id="2"/>
    <tableColumn name="Opção" id="3"/>
    <tableColumn name="Fornecedor / canal" id="4"/>
    <tableColumn name="Produto e embalagem" id="5"/>
    <tableColumn name="Unidades / lote" id="6"/>
    <tableColumn name="Preço / lote (R$)" id="7"/>
    <tableColumn name="Condição do preço" id="8"/>
    <tableColumn name="Disponibilidade observada" id="9"/>
    <tableColumn name="URL de origem" id="10"/>
    <tableColumn name="Observação da oferta" id="11"/>
  </tableColumns>
  <tableStyleInfo name="Cotaçõ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324F"/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4.88"/>
    <col customWidth="1" min="2" max="2" width="28.38"/>
    <col customWidth="1" min="3" max="3" width="6.63"/>
    <col customWidth="1" min="4" max="4" width="8.0"/>
    <col customWidth="1" min="5" max="6" width="7.25"/>
    <col customWidth="1" min="7" max="7" width="6.63"/>
    <col customWidth="1" min="8" max="8" width="10.5"/>
    <col customWidth="1" min="9" max="9" width="11.5"/>
    <col customWidth="1" min="10" max="12" width="14.63"/>
    <col customWidth="1" min="13" max="13" width="36.88"/>
    <col customWidth="1" min="14" max="26" width="8.63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.5" customHeight="1">
      <c r="A2" s="2" t="s">
        <v>103</v>
      </c>
    </row>
    <row r="3" ht="21.0" customHeight="1">
      <c r="A3" s="3" t="s">
        <v>105</v>
      </c>
    </row>
    <row r="4" ht="30.0" customHeight="1">
      <c r="A4" s="1" t="s">
        <v>106</v>
      </c>
    </row>
    <row r="5" ht="30.0" customHeight="1">
      <c r="A5" s="19" t="s">
        <v>107</v>
      </c>
    </row>
    <row r="6" ht="28.5" customHeight="1">
      <c r="A6" s="20" t="s">
        <v>108</v>
      </c>
      <c r="D6" s="21">
        <f>SUM(I10:I29)</f>
        <v>952.85</v>
      </c>
      <c r="G6" s="19" t="s">
        <v>113</v>
      </c>
      <c r="J6" s="22">
        <f>COUNTIF(C10:C29,"&gt;0")-COUNTIF(I10:I29,"&gt;0")</f>
        <v>1</v>
      </c>
      <c r="K6" s="23" t="s">
        <v>115</v>
      </c>
    </row>
    <row r="7" ht="28.5" customHeight="1">
      <c r="A7" s="23" t="s">
        <v>117</v>
      </c>
    </row>
    <row r="8" ht="9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ht="36.0" customHeight="1">
      <c r="A9" s="14" t="s">
        <v>49</v>
      </c>
      <c r="B9" s="14" t="s">
        <v>122</v>
      </c>
      <c r="C9" s="14" t="s">
        <v>123</v>
      </c>
      <c r="D9" s="14" t="s">
        <v>124</v>
      </c>
      <c r="E9" s="14" t="s">
        <v>126</v>
      </c>
      <c r="F9" s="14" t="s">
        <v>128</v>
      </c>
      <c r="G9" s="14" t="s">
        <v>129</v>
      </c>
      <c r="H9" s="14" t="s">
        <v>131</v>
      </c>
      <c r="I9" s="14" t="s">
        <v>132</v>
      </c>
      <c r="J9" s="14" t="s">
        <v>135</v>
      </c>
      <c r="K9" s="14" t="s">
        <v>136</v>
      </c>
      <c r="L9" s="14" t="s">
        <v>137</v>
      </c>
      <c r="M9" s="14" t="s">
        <v>138</v>
      </c>
    </row>
    <row r="10" ht="84.0" customHeight="1">
      <c r="A10" s="15" t="s">
        <v>60</v>
      </c>
      <c r="B10" s="15" t="s">
        <v>141</v>
      </c>
      <c r="C10" s="24">
        <v>2.0</v>
      </c>
      <c r="D10" s="25" t="s">
        <v>144</v>
      </c>
      <c r="E10" s="24">
        <v>1.0</v>
      </c>
      <c r="F10" s="25">
        <f>VLOOKUP($A10&amp;"-"&amp;$E10,'Cotações'!$A$8:$K$67,6,FALSE)</f>
        <v>1</v>
      </c>
      <c r="G10" s="25">
        <f t="shared" ref="G10:G29" si="1">ROUNDUP(C10/F10,0)</f>
        <v>2</v>
      </c>
      <c r="H10" s="26">
        <f>IF(VLOOKUP($A10&amp;"-"&amp;$E10,'Cotações'!$A$8:$K$67,7,FALSE)=0,"",VLOOKUP($A10&amp;"-"&amp;$E10,'Cotações'!$A$8:$K$67,7,FALSE))</f>
        <v>75.86</v>
      </c>
      <c r="I10" s="26">
        <f t="shared" ref="I10:I29" si="2">IF(C10=0,0,IF(H10="","",G10*H10))</f>
        <v>151.72</v>
      </c>
      <c r="J10" s="27" t="str">
        <f>IFERROR(HYPERLINK('Cotações'!J8,'Cotações'!D8),'Cotações'!D8)</f>
        <v>RoboBuilders</v>
      </c>
      <c r="K10" s="27" t="str">
        <f>IFERROR(HYPERLINK('Cotações'!J9,'Cotações'!D9),'Cotações'!D9)</f>
        <v>Usinainfo</v>
      </c>
      <c r="L10" s="27" t="str">
        <f>IFERROR(HYPERLINK('Cotações'!J10,'Cotações'!D10),'Cotações'!D10)</f>
        <v>Proesi</v>
      </c>
      <c r="M10" s="15" t="s">
        <v>165</v>
      </c>
    </row>
    <row r="11" ht="84.0" customHeight="1">
      <c r="A11" s="28" t="s">
        <v>79</v>
      </c>
      <c r="B11" s="28" t="s">
        <v>169</v>
      </c>
      <c r="C11" s="24">
        <v>1.0</v>
      </c>
      <c r="D11" s="29" t="s">
        <v>171</v>
      </c>
      <c r="E11" s="24">
        <v>1.0</v>
      </c>
      <c r="F11" s="29">
        <f>VLOOKUP($A11&amp;"-"&amp;$E11,'Cotações'!$A$8:$K$67,6,FALSE)</f>
        <v>1</v>
      </c>
      <c r="G11" s="29">
        <f t="shared" si="1"/>
        <v>1</v>
      </c>
      <c r="H11" s="30">
        <f>IF(VLOOKUP($A11&amp;"-"&amp;$E11,'Cotações'!$A$8:$K$67,7,FALSE)=0,"",VLOOKUP($A11&amp;"-"&amp;$E11,'Cotações'!$A$8:$K$67,7,FALSE))</f>
        <v>102.9</v>
      </c>
      <c r="I11" s="30">
        <f t="shared" si="2"/>
        <v>102.9</v>
      </c>
      <c r="J11" s="31" t="str">
        <f>IFERROR(HYPERLINK('Cotações'!J11,'Cotações'!D11),'Cotações'!D11)</f>
        <v>Dissipatec</v>
      </c>
      <c r="K11" s="31" t="str">
        <f>IFERROR(HYPERLINK('Cotações'!J12,'Cotações'!D12),'Cotações'!D12)</f>
        <v>TDTEC</v>
      </c>
      <c r="L11" s="31" t="str">
        <f>IFERROR(HYPERLINK('Cotações'!J13,'Cotações'!D13),'Cotações'!D13)</f>
        <v>Shopee / Dissipatec</v>
      </c>
      <c r="M11" s="28" t="s">
        <v>183</v>
      </c>
    </row>
    <row r="12" ht="84.0" customHeight="1">
      <c r="A12" s="15" t="s">
        <v>96</v>
      </c>
      <c r="B12" s="15" t="s">
        <v>185</v>
      </c>
      <c r="C12" s="24">
        <v>0.0</v>
      </c>
      <c r="D12" s="25" t="s">
        <v>187</v>
      </c>
      <c r="E12" s="24">
        <v>1.0</v>
      </c>
      <c r="F12" s="25">
        <f>VLOOKUP($A12&amp;"-"&amp;$E12,'Cotações'!$A$8:$K$67,6,FALSE)</f>
        <v>1</v>
      </c>
      <c r="G12" s="25">
        <f t="shared" si="1"/>
        <v>0</v>
      </c>
      <c r="H12" s="26">
        <f>IF(VLOOKUP($A12&amp;"-"&amp;$E12,'Cotações'!$A$8:$K$67,7,FALSE)=0,"",VLOOKUP($A12&amp;"-"&amp;$E12,'Cotações'!$A$8:$K$67,7,FALSE))</f>
        <v>44.99</v>
      </c>
      <c r="I12" s="26">
        <f t="shared" si="2"/>
        <v>0</v>
      </c>
      <c r="J12" s="27" t="str">
        <f>IFERROR(HYPERLINK('Cotações'!J14,'Cotações'!D14),'Cotações'!D14)</f>
        <v>Casa da Robótica</v>
      </c>
      <c r="K12" s="27" t="str">
        <f>IFERROR(HYPERLINK('Cotações'!J15,'Cotações'!D15),'Cotações'!D15)</f>
        <v>Vida de Silício</v>
      </c>
      <c r="L12" s="27" t="str">
        <f>IFERROR(HYPERLINK('Cotações'!J16,'Cotações'!D16),'Cotações'!D16)</f>
        <v>Saravati</v>
      </c>
      <c r="M12" s="15" t="s">
        <v>197</v>
      </c>
    </row>
    <row r="13" ht="84.0" customHeight="1">
      <c r="A13" s="28" t="s">
        <v>119</v>
      </c>
      <c r="B13" s="28" t="s">
        <v>198</v>
      </c>
      <c r="C13" s="24">
        <v>2.0</v>
      </c>
      <c r="D13" s="29" t="s">
        <v>201</v>
      </c>
      <c r="E13" s="24">
        <v>1.0</v>
      </c>
      <c r="F13" s="29">
        <f>VLOOKUP($A13&amp;"-"&amp;$E13,'Cotações'!$A$8:$K$67,6,FALSE)</f>
        <v>1</v>
      </c>
      <c r="G13" s="29">
        <f t="shared" si="1"/>
        <v>2</v>
      </c>
      <c r="H13" s="30">
        <f>IF(VLOOKUP($A13&amp;"-"&amp;$E13,'Cotações'!$A$8:$K$67,7,FALSE)=0,"",VLOOKUP($A13&amp;"-"&amp;$E13,'Cotações'!$A$8:$K$67,7,FALSE))</f>
        <v>25.2</v>
      </c>
      <c r="I13" s="30">
        <f t="shared" si="2"/>
        <v>50.4</v>
      </c>
      <c r="J13" s="31" t="str">
        <f>IFERROR(HYPERLINK('Cotações'!J17,'Cotações'!D17),'Cotações'!D17)</f>
        <v>Malta Suprimentos</v>
      </c>
      <c r="K13" s="31" t="str">
        <f>IFERROR(HYPERLINK('Cotações'!J18,'Cotações'!D18),'Cotações'!D18)</f>
        <v>Easytronics</v>
      </c>
      <c r="L13" s="31" t="str">
        <f>IFERROR(HYPERLINK('Cotações'!J19,'Cotações'!D19),'Cotações'!D19)</f>
        <v>Liohm</v>
      </c>
      <c r="M13" s="28" t="s">
        <v>216</v>
      </c>
    </row>
    <row r="14" ht="84.0" customHeight="1">
      <c r="A14" s="15" t="s">
        <v>148</v>
      </c>
      <c r="B14" s="15" t="s">
        <v>219</v>
      </c>
      <c r="C14" s="24">
        <v>1.0</v>
      </c>
      <c r="D14" s="25" t="s">
        <v>187</v>
      </c>
      <c r="E14" s="24">
        <v>1.0</v>
      </c>
      <c r="F14" s="25">
        <f>VLOOKUP($A14&amp;"-"&amp;$E14,'Cotações'!$A$8:$K$67,6,FALSE)</f>
        <v>1</v>
      </c>
      <c r="G14" s="25">
        <f t="shared" si="1"/>
        <v>1</v>
      </c>
      <c r="H14" s="26">
        <f>IF(VLOOKUP($A14&amp;"-"&amp;$E14,'Cotações'!$A$8:$K$67,7,FALSE)=0,"",VLOOKUP($A14&amp;"-"&amp;$E14,'Cotações'!$A$8:$K$67,7,FALSE))</f>
        <v>16.2</v>
      </c>
      <c r="I14" s="26">
        <f t="shared" si="2"/>
        <v>16.2</v>
      </c>
      <c r="J14" s="27" t="str">
        <f>IFERROR(HYPERLINK('Cotações'!J20,'Cotações'!D20),'Cotações'!D20)</f>
        <v>A2 Robotics</v>
      </c>
      <c r="K14" s="27" t="str">
        <f>IFERROR(HYPERLINK('Cotações'!J21,'Cotações'!D21),'Cotações'!D21)</f>
        <v>Ardushop</v>
      </c>
      <c r="L14" s="27" t="str">
        <f>IFERROR(HYPERLINK('Cotações'!J22,'Cotações'!D22),'Cotações'!D22)</f>
        <v>Saravati</v>
      </c>
      <c r="M14" s="15" t="s">
        <v>232</v>
      </c>
    </row>
    <row r="15" ht="84.0" customHeight="1">
      <c r="A15" s="28" t="s">
        <v>161</v>
      </c>
      <c r="B15" s="28" t="s">
        <v>234</v>
      </c>
      <c r="C15" s="24">
        <v>10.0</v>
      </c>
      <c r="D15" s="29" t="s">
        <v>235</v>
      </c>
      <c r="E15" s="24">
        <v>1.0</v>
      </c>
      <c r="F15" s="29">
        <f>VLOOKUP($A15&amp;"-"&amp;$E15,'Cotações'!$A$8:$K$67,6,FALSE)</f>
        <v>10</v>
      </c>
      <c r="G15" s="29">
        <f t="shared" si="1"/>
        <v>1</v>
      </c>
      <c r="H15" s="30">
        <f>IF(VLOOKUP($A15&amp;"-"&amp;$E15,'Cotações'!$A$8:$K$67,7,FALSE)=0,"",VLOOKUP($A15&amp;"-"&amp;$E15,'Cotações'!$A$8:$K$67,7,FALSE))</f>
        <v>0.9</v>
      </c>
      <c r="I15" s="30">
        <f t="shared" si="2"/>
        <v>0.9</v>
      </c>
      <c r="J15" s="31" t="str">
        <f>IFERROR(HYPERLINK('Cotações'!J23,'Cotações'!D23),'Cotações'!D23)</f>
        <v>Smart Kits</v>
      </c>
      <c r="K15" s="31" t="str">
        <f>IFERROR(HYPERLINK('Cotações'!J24,'Cotações'!D24),'Cotações'!D24)</f>
        <v>Proesi</v>
      </c>
      <c r="L15" s="31" t="str">
        <f>IFERROR(HYPERLINK('Cotações'!J25,'Cotações'!D25),'Cotações'!D25)</f>
        <v>Achei Componentes</v>
      </c>
      <c r="M15" s="28" t="s">
        <v>246</v>
      </c>
    </row>
    <row r="16" ht="84.0" customHeight="1">
      <c r="A16" s="15" t="s">
        <v>179</v>
      </c>
      <c r="B16" s="15" t="s">
        <v>247</v>
      </c>
      <c r="C16" s="24">
        <v>10.0</v>
      </c>
      <c r="D16" s="25" t="s">
        <v>235</v>
      </c>
      <c r="E16" s="24">
        <v>1.0</v>
      </c>
      <c r="F16" s="25">
        <f>VLOOKUP($A16&amp;"-"&amp;$E16,'Cotações'!$A$8:$K$67,6,FALSE)</f>
        <v>10</v>
      </c>
      <c r="G16" s="25">
        <f t="shared" si="1"/>
        <v>1</v>
      </c>
      <c r="H16" s="26">
        <f>IF(VLOOKUP($A16&amp;"-"&amp;$E16,'Cotações'!$A$8:$K$67,7,FALSE)=0,"",VLOOKUP($A16&amp;"-"&amp;$E16,'Cotações'!$A$8:$K$67,7,FALSE))</f>
        <v>1.9</v>
      </c>
      <c r="I16" s="26">
        <f t="shared" si="2"/>
        <v>1.9</v>
      </c>
      <c r="J16" s="27" t="str">
        <f>IFERROR(HYPERLINK('Cotações'!J26,'Cotações'!D26),'Cotações'!D26)</f>
        <v>Achei Componentes</v>
      </c>
      <c r="K16" s="27" t="str">
        <f>IFERROR(HYPERLINK('Cotações'!J27,'Cotações'!D27),'Cotações'!D27)</f>
        <v>Eletrogate</v>
      </c>
      <c r="L16" s="27" t="str">
        <f>IFERROR(HYPERLINK('Cotações'!J28,'Cotações'!D28),'Cotações'!D28)</f>
        <v>MakerHero</v>
      </c>
      <c r="M16" s="15" t="s">
        <v>258</v>
      </c>
    </row>
    <row r="17" ht="84.0" customHeight="1">
      <c r="A17" s="28" t="s">
        <v>195</v>
      </c>
      <c r="B17" s="28" t="s">
        <v>259</v>
      </c>
      <c r="C17" s="24">
        <v>1.0</v>
      </c>
      <c r="D17" s="29" t="s">
        <v>261</v>
      </c>
      <c r="E17" s="24">
        <v>1.0</v>
      </c>
      <c r="F17" s="29">
        <f>VLOOKUP($A17&amp;"-"&amp;$E17,'Cotações'!$A$8:$K$67,6,FALSE)</f>
        <v>1</v>
      </c>
      <c r="G17" s="29">
        <f t="shared" si="1"/>
        <v>1</v>
      </c>
      <c r="H17" s="30" t="str">
        <f>IF(VLOOKUP($A17&amp;"-"&amp;$E17,'Cotações'!$A$8:$K$67,7,FALSE)=0,"",VLOOKUP($A17&amp;"-"&amp;$E17,'Cotações'!$A$8:$K$67,7,FALSE))</f>
        <v/>
      </c>
      <c r="I17" s="30" t="str">
        <f t="shared" si="2"/>
        <v/>
      </c>
      <c r="J17" s="31" t="str">
        <f>IFERROR(HYPERLINK('Cotações'!J29,'Cotações'!D29),'Cotações'!D29)</f>
        <v>Proesi</v>
      </c>
      <c r="K17" s="31" t="str">
        <f>IFERROR(HYPERLINK('Cotações'!J30,'Cotações'!D30),'Cotações'!D30)</f>
        <v>Equitronic</v>
      </c>
      <c r="L17" s="31" t="str">
        <f>IFERROR(HYPERLINK('Cotações'!J31,'Cotações'!D31),'Cotações'!D31)</f>
        <v>Mercado Livre</v>
      </c>
      <c r="M17" s="28" t="s">
        <v>270</v>
      </c>
    </row>
    <row r="18" ht="84.0" customHeight="1">
      <c r="A18" s="15" t="s">
        <v>212</v>
      </c>
      <c r="B18" s="15" t="s">
        <v>272</v>
      </c>
      <c r="C18" s="24">
        <v>1.0</v>
      </c>
      <c r="D18" s="25" t="s">
        <v>187</v>
      </c>
      <c r="E18" s="24">
        <v>1.0</v>
      </c>
      <c r="F18" s="25">
        <f>VLOOKUP($A18&amp;"-"&amp;$E18,'Cotações'!$A$8:$K$67,6,FALSE)</f>
        <v>1</v>
      </c>
      <c r="G18" s="25">
        <f t="shared" si="1"/>
        <v>1</v>
      </c>
      <c r="H18" s="26">
        <f>IF(VLOOKUP($A18&amp;"-"&amp;$E18,'Cotações'!$A$8:$K$67,7,FALSE)=0,"",VLOOKUP($A18&amp;"-"&amp;$E18,'Cotações'!$A$8:$K$67,7,FALSE))</f>
        <v>8.5</v>
      </c>
      <c r="I18" s="26">
        <f t="shared" si="2"/>
        <v>8.5</v>
      </c>
      <c r="J18" s="27" t="str">
        <f>IFERROR(HYPERLINK('Cotações'!J32,'Cotações'!D32),'Cotações'!D32)</f>
        <v>Só Tudo</v>
      </c>
      <c r="K18" s="27" t="str">
        <f>IFERROR(HYPERLINK('Cotações'!J33,'Cotações'!D33),'Cotações'!D33)</f>
        <v>Curto Circuito</v>
      </c>
      <c r="L18" s="27" t="str">
        <f>IFERROR(HYPERLINK('Cotações'!J34,'Cotações'!D34),'Cotações'!D34)</f>
        <v>AutoCore Robótica</v>
      </c>
      <c r="M18" s="15" t="s">
        <v>288</v>
      </c>
    </row>
    <row r="19" ht="84.0" customHeight="1">
      <c r="A19" s="28" t="s">
        <v>231</v>
      </c>
      <c r="B19" s="28" t="s">
        <v>290</v>
      </c>
      <c r="C19" s="24">
        <v>6.0</v>
      </c>
      <c r="D19" s="29" t="s">
        <v>292</v>
      </c>
      <c r="E19" s="24">
        <v>1.0</v>
      </c>
      <c r="F19" s="29">
        <f>VLOOKUP($A19&amp;"-"&amp;$E19,'Cotações'!$A$8:$K$67,6,FALSE)</f>
        <v>10</v>
      </c>
      <c r="G19" s="29">
        <f t="shared" si="1"/>
        <v>1</v>
      </c>
      <c r="H19" s="30">
        <f>IF(VLOOKUP($A19&amp;"-"&amp;$E19,'Cotações'!$A$8:$K$67,7,FALSE)=0,"",VLOOKUP($A19&amp;"-"&amp;$E19,'Cotações'!$A$8:$K$67,7,FALSE))</f>
        <v>7.9</v>
      </c>
      <c r="I19" s="30">
        <f t="shared" si="2"/>
        <v>7.9</v>
      </c>
      <c r="J19" s="31" t="str">
        <f>IFERROR(HYPERLINK('Cotações'!J35,'Cotações'!D35),'Cotações'!D35)</f>
        <v>Eletrogate</v>
      </c>
      <c r="K19" s="31" t="str">
        <f>IFERROR(HYPERLINK('Cotações'!J36,'Cotações'!D36),'Cotações'!D36)</f>
        <v>Baú da Eletrônica</v>
      </c>
      <c r="L19" s="31" t="str">
        <f>IFERROR(HYPERLINK('Cotações'!J37,'Cotações'!D37),'Cotações'!D37)</f>
        <v>A2 Robotics</v>
      </c>
      <c r="M19" s="28" t="s">
        <v>300</v>
      </c>
    </row>
    <row r="20" ht="84.0" customHeight="1">
      <c r="A20" s="15" t="s">
        <v>245</v>
      </c>
      <c r="B20" s="15" t="s">
        <v>302</v>
      </c>
      <c r="C20" s="24">
        <v>2.0</v>
      </c>
      <c r="D20" s="25" t="s">
        <v>261</v>
      </c>
      <c r="E20" s="24">
        <v>1.0</v>
      </c>
      <c r="F20" s="25">
        <f>VLOOKUP($A20&amp;"-"&amp;$E20,'Cotações'!$A$8:$K$67,6,FALSE)</f>
        <v>1</v>
      </c>
      <c r="G20" s="25">
        <f t="shared" si="1"/>
        <v>2</v>
      </c>
      <c r="H20" s="26">
        <f>IF(VLOOKUP($A20&amp;"-"&amp;$E20,'Cotações'!$A$8:$K$67,7,FALSE)=0,"",VLOOKUP($A20&amp;"-"&amp;$E20,'Cotações'!$A$8:$K$67,7,FALSE))</f>
        <v>1.76</v>
      </c>
      <c r="I20" s="26">
        <f t="shared" si="2"/>
        <v>3.52</v>
      </c>
      <c r="J20" s="27" t="str">
        <f>IFERROR(HYPERLINK('Cotações'!J38,'Cotações'!D38),'Cotações'!D38)</f>
        <v>Achei Componentes</v>
      </c>
      <c r="K20" s="27" t="str">
        <f>IFERROR(HYPERLINK('Cotações'!J39,'Cotações'!D39),'Cotações'!D39)</f>
        <v>RS Componentes</v>
      </c>
      <c r="L20" s="27" t="str">
        <f>IFERROR(HYPERLINK('Cotações'!J40,'Cotações'!D40),'Cotações'!D40)</f>
        <v>Intertronix</v>
      </c>
      <c r="M20" s="15" t="s">
        <v>311</v>
      </c>
    </row>
    <row r="21" ht="84.0" customHeight="1">
      <c r="A21" s="28" t="s">
        <v>263</v>
      </c>
      <c r="B21" s="28" t="s">
        <v>312</v>
      </c>
      <c r="C21" s="24">
        <v>3.0</v>
      </c>
      <c r="D21" s="29" t="s">
        <v>187</v>
      </c>
      <c r="E21" s="24">
        <v>1.0</v>
      </c>
      <c r="F21" s="29">
        <f>VLOOKUP($A21&amp;"-"&amp;$E21,'Cotações'!$A$8:$K$67,6,FALSE)</f>
        <v>1</v>
      </c>
      <c r="G21" s="29">
        <f t="shared" si="1"/>
        <v>3</v>
      </c>
      <c r="H21" s="30">
        <f>IF(VLOOKUP($A21&amp;"-"&amp;$E21,'Cotações'!$A$8:$K$67,7,FALSE)=0,"",VLOOKUP($A21&amp;"-"&amp;$E21,'Cotações'!$A$8:$K$67,7,FALSE))</f>
        <v>16.99</v>
      </c>
      <c r="I21" s="30">
        <f t="shared" si="2"/>
        <v>50.97</v>
      </c>
      <c r="J21" s="31" t="str">
        <f>IFERROR(HYPERLINK('Cotações'!J41,'Cotações'!D41),'Cotações'!D41)</f>
        <v>Casa da Robótica</v>
      </c>
      <c r="K21" s="31" t="str">
        <f>IFERROR(HYPERLINK('Cotações'!J42,'Cotações'!D42),'Cotações'!D42)</f>
        <v>Usinainfo</v>
      </c>
      <c r="L21" s="31" t="str">
        <f>IFERROR(HYPERLINK('Cotações'!J43,'Cotações'!D43),'Cotações'!D43)</f>
        <v>Eletrogate</v>
      </c>
      <c r="M21" s="28" t="s">
        <v>322</v>
      </c>
    </row>
    <row r="22" ht="84.0" customHeight="1">
      <c r="A22" s="15" t="s">
        <v>277</v>
      </c>
      <c r="B22" s="15" t="s">
        <v>324</v>
      </c>
      <c r="C22" s="24">
        <v>1.0</v>
      </c>
      <c r="D22" s="25" t="s">
        <v>326</v>
      </c>
      <c r="E22" s="24">
        <v>1.0</v>
      </c>
      <c r="F22" s="25">
        <f>VLOOKUP($A22&amp;"-"&amp;$E22,'Cotações'!$A$8:$K$67,6,FALSE)</f>
        <v>1</v>
      </c>
      <c r="G22" s="25">
        <f t="shared" si="1"/>
        <v>1</v>
      </c>
      <c r="H22" s="26">
        <f>IF(VLOOKUP($A22&amp;"-"&amp;$E22,'Cotações'!$A$8:$K$67,7,FALSE)=0,"",VLOOKUP($A22&amp;"-"&amp;$E22,'Cotações'!$A$8:$K$67,7,FALSE))</f>
        <v>410</v>
      </c>
      <c r="I22" s="26">
        <f t="shared" si="2"/>
        <v>410</v>
      </c>
      <c r="J22" s="27" t="str">
        <f>IFERROR(HYPERLINK('Cotações'!J44,'Cotações'!D44),'Cotações'!D44)</f>
        <v>TEC BIG / Sunshine</v>
      </c>
      <c r="K22" s="27" t="str">
        <f>IFERROR(HYPERLINK('Cotações'!J45,'Cotações'!D45),'Cotações'!D45)</f>
        <v>RF4 Ferramentas</v>
      </c>
      <c r="L22" s="27" t="str">
        <f>IFERROR(HYPERLINK('Cotações'!J46,'Cotações'!D46),'Cotações'!D46)</f>
        <v>Shopee / Yaxun</v>
      </c>
      <c r="M22" s="15" t="s">
        <v>336</v>
      </c>
    </row>
    <row r="23" ht="84.0" customHeight="1">
      <c r="A23" s="28" t="s">
        <v>296</v>
      </c>
      <c r="B23" s="28" t="s">
        <v>339</v>
      </c>
      <c r="C23" s="24">
        <v>1.0</v>
      </c>
      <c r="D23" s="29" t="s">
        <v>144</v>
      </c>
      <c r="E23" s="24">
        <v>1.0</v>
      </c>
      <c r="F23" s="29">
        <f>VLOOKUP($A23&amp;"-"&amp;$E23,'Cotações'!$A$8:$K$67,6,FALSE)</f>
        <v>1</v>
      </c>
      <c r="G23" s="29">
        <f t="shared" si="1"/>
        <v>1</v>
      </c>
      <c r="H23" s="30">
        <f>IF(VLOOKUP($A23&amp;"-"&amp;$E23,'Cotações'!$A$8:$K$67,7,FALSE)=0,"",VLOOKUP($A23&amp;"-"&amp;$E23,'Cotações'!$A$8:$K$67,7,FALSE))</f>
        <v>11.99</v>
      </c>
      <c r="I23" s="30">
        <f t="shared" si="2"/>
        <v>11.99</v>
      </c>
      <c r="J23" s="31" t="str">
        <f>IFERROR(HYPERLINK('Cotações'!J47,'Cotações'!D47),'Cotações'!D47)</f>
        <v>Casa da Robótica</v>
      </c>
      <c r="K23" s="31" t="str">
        <f>IFERROR(HYPERLINK('Cotações'!J48,'Cotações'!D48),'Cotações'!D48)</f>
        <v>Eletrogate</v>
      </c>
      <c r="L23" s="31" t="str">
        <f>IFERROR(HYPERLINK('Cotações'!J49,'Cotações'!D49),'Cotações'!D49)</f>
        <v>Mult Comercial</v>
      </c>
      <c r="M23" s="28" t="s">
        <v>350</v>
      </c>
    </row>
    <row r="24" ht="84.0" customHeight="1">
      <c r="A24" s="15" t="s">
        <v>309</v>
      </c>
      <c r="B24" s="15" t="s">
        <v>351</v>
      </c>
      <c r="C24" s="24">
        <v>1.0</v>
      </c>
      <c r="D24" s="25" t="s">
        <v>352</v>
      </c>
      <c r="E24" s="24">
        <v>1.0</v>
      </c>
      <c r="F24" s="25">
        <f>VLOOKUP($A24&amp;"-"&amp;$E24,'Cotações'!$A$8:$K$67,6,FALSE)</f>
        <v>1</v>
      </c>
      <c r="G24" s="25">
        <f t="shared" si="1"/>
        <v>1</v>
      </c>
      <c r="H24" s="26">
        <f>IF(VLOOKUP($A24&amp;"-"&amp;$E24,'Cotações'!$A$8:$K$67,7,FALSE)=0,"",VLOOKUP($A24&amp;"-"&amp;$E24,'Cotações'!$A$8:$K$67,7,FALSE))</f>
        <v>22.9</v>
      </c>
      <c r="I24" s="26">
        <f t="shared" si="2"/>
        <v>22.9</v>
      </c>
      <c r="J24" s="27" t="str">
        <f>IFERROR(HYPERLINK('Cotações'!J50,'Cotações'!D50),'Cotações'!D50)</f>
        <v>MakerHero</v>
      </c>
      <c r="K24" s="27" t="str">
        <f>IFERROR(HYPERLINK('Cotações'!J51,'Cotações'!D51),'Cotações'!D51)</f>
        <v>Casa da Robótica</v>
      </c>
      <c r="L24" s="27" t="str">
        <f>IFERROR(HYPERLINK('Cotações'!J52,'Cotações'!D52),'Cotações'!D52)</f>
        <v>Shopee</v>
      </c>
      <c r="M24" s="15" t="s">
        <v>361</v>
      </c>
    </row>
    <row r="25" ht="84.0" customHeight="1">
      <c r="A25" s="28" t="s">
        <v>325</v>
      </c>
      <c r="B25" s="28" t="s">
        <v>364</v>
      </c>
      <c r="C25" s="24">
        <v>2.0</v>
      </c>
      <c r="D25" s="29" t="s">
        <v>365</v>
      </c>
      <c r="E25" s="24">
        <v>1.0</v>
      </c>
      <c r="F25" s="29">
        <f>VLOOKUP($A25&amp;"-"&amp;$E25,'Cotações'!$A$8:$K$67,6,FALSE)</f>
        <v>1</v>
      </c>
      <c r="G25" s="29">
        <f t="shared" si="1"/>
        <v>2</v>
      </c>
      <c r="H25" s="30">
        <f>IF(VLOOKUP($A25&amp;"-"&amp;$E25,'Cotações'!$A$8:$K$67,7,FALSE)=0,"",VLOOKUP($A25&amp;"-"&amp;$E25,'Cotações'!$A$8:$K$67,7,FALSE))</f>
        <v>9.9</v>
      </c>
      <c r="I25" s="30">
        <f t="shared" si="2"/>
        <v>19.8</v>
      </c>
      <c r="J25" s="31" t="str">
        <f>IFERROR(HYPERLINK('Cotações'!J53,'Cotações'!D53),'Cotações'!D53)</f>
        <v>AutoCore Robótica</v>
      </c>
      <c r="K25" s="31" t="str">
        <f>IFERROR(HYPERLINK('Cotações'!J54,'Cotações'!D54),'Cotações'!D54)</f>
        <v>Eletrogate</v>
      </c>
      <c r="L25" s="31" t="str">
        <f>IFERROR(HYPERLINK('Cotações'!J55,'Cotações'!D55),'Cotações'!D55)</f>
        <v>RoboCore</v>
      </c>
      <c r="M25" s="28" t="s">
        <v>374</v>
      </c>
    </row>
    <row r="26" ht="84.0" customHeight="1">
      <c r="A26" s="15" t="s">
        <v>342</v>
      </c>
      <c r="B26" s="15" t="s">
        <v>376</v>
      </c>
      <c r="C26" s="24">
        <v>3.0</v>
      </c>
      <c r="D26" s="25" t="s">
        <v>377</v>
      </c>
      <c r="E26" s="24">
        <v>1.0</v>
      </c>
      <c r="F26" s="25">
        <f>VLOOKUP($A26&amp;"-"&amp;$E26,'Cotações'!$A$8:$K$67,6,FALSE)</f>
        <v>1</v>
      </c>
      <c r="G26" s="25">
        <f t="shared" si="1"/>
        <v>3</v>
      </c>
      <c r="H26" s="26">
        <f>IF(VLOOKUP($A26&amp;"-"&amp;$E26,'Cotações'!$A$8:$K$67,7,FALSE)=0,"",VLOOKUP($A26&amp;"-"&amp;$E26,'Cotações'!$A$8:$K$67,7,FALSE))</f>
        <v>0.8</v>
      </c>
      <c r="I26" s="26">
        <f t="shared" si="2"/>
        <v>2.4</v>
      </c>
      <c r="J26" s="27" t="str">
        <f>IFERROR(HYPERLINK('Cotações'!J56,'Cotações'!D56),'Cotações'!D56)</f>
        <v>Eletrogate</v>
      </c>
      <c r="K26" s="27" t="str">
        <f>IFERROR(HYPERLINK('Cotações'!J57,'Cotações'!D57),'Cotações'!D57)</f>
        <v>Mult Comercial</v>
      </c>
      <c r="L26" s="27" t="str">
        <f>IFERROR(HYPERLINK('Cotações'!J58,'Cotações'!D58),'Cotações'!D58)</f>
        <v>Usinainfo</v>
      </c>
      <c r="M26" s="15" t="s">
        <v>381</v>
      </c>
    </row>
    <row r="27" ht="84.0" customHeight="1">
      <c r="A27" s="28" t="s">
        <v>355</v>
      </c>
      <c r="B27" s="28" t="s">
        <v>382</v>
      </c>
      <c r="C27" s="24">
        <v>2.0</v>
      </c>
      <c r="D27" s="29" t="s">
        <v>384</v>
      </c>
      <c r="E27" s="24">
        <v>1.0</v>
      </c>
      <c r="F27" s="29">
        <f>VLOOKUP($A27&amp;"-"&amp;$E27,'Cotações'!$A$8:$K$67,6,FALSE)</f>
        <v>4</v>
      </c>
      <c r="G27" s="29">
        <f t="shared" si="1"/>
        <v>1</v>
      </c>
      <c r="H27" s="30">
        <f>IF(VLOOKUP($A27&amp;"-"&amp;$E27,'Cotações'!$A$8:$K$67,7,FALSE)=0,"",VLOOKUP($A27&amp;"-"&amp;$E27,'Cotações'!$A$8:$K$67,7,FALSE))</f>
        <v>84.9</v>
      </c>
      <c r="I27" s="30">
        <f t="shared" si="2"/>
        <v>84.9</v>
      </c>
      <c r="J27" s="31" t="str">
        <f>IFERROR(HYPERLINK('Cotações'!J59,'Cotações'!D59),'Cotações'!D59)</f>
        <v>Azupa</v>
      </c>
      <c r="K27" s="31" t="str">
        <f>IFERROR(HYPERLINK('Cotações'!J60,'Cotações'!D60),'Cotações'!D60)</f>
        <v>Action Modelismo</v>
      </c>
      <c r="L27" s="31" t="str">
        <f>IFERROR(HYPERLINK('Cotações'!J61,'Cotações'!D61),'Cotações'!D61)</f>
        <v>Shopee</v>
      </c>
      <c r="M27" s="28" t="s">
        <v>393</v>
      </c>
    </row>
    <row r="28" ht="84.0" customHeight="1">
      <c r="A28" s="15" t="s">
        <v>370</v>
      </c>
      <c r="B28" s="15" t="s">
        <v>395</v>
      </c>
      <c r="C28" s="24">
        <v>2.0</v>
      </c>
      <c r="D28" s="25" t="s">
        <v>235</v>
      </c>
      <c r="E28" s="24">
        <v>1.0</v>
      </c>
      <c r="F28" s="25">
        <f>VLOOKUP($A28&amp;"-"&amp;$E28,'Cotações'!$A$8:$K$67,6,FALSE)</f>
        <v>1</v>
      </c>
      <c r="G28" s="25">
        <f t="shared" si="1"/>
        <v>2</v>
      </c>
      <c r="H28" s="26">
        <f>IF(VLOOKUP($A28&amp;"-"&amp;$E28,'Cotações'!$A$8:$K$67,7,FALSE)=0,"",VLOOKUP($A28&amp;"-"&amp;$E28,'Cotações'!$A$8:$K$67,7,FALSE))</f>
        <v>1.9</v>
      </c>
      <c r="I28" s="26">
        <f t="shared" si="2"/>
        <v>3.8</v>
      </c>
      <c r="J28" s="27" t="str">
        <f>IFERROR(HYPERLINK('Cotações'!J62,'Cotações'!D62),'Cotações'!D62)</f>
        <v>Eletrogate</v>
      </c>
      <c r="K28" s="27" t="str">
        <f>IFERROR(HYPERLINK('Cotações'!J63,'Cotações'!D63),'Cotações'!D63)</f>
        <v>Baú da Eletrônica</v>
      </c>
      <c r="L28" s="27" t="str">
        <f>IFERROR(HYPERLINK('Cotações'!J64,'Cotações'!D64),'Cotações'!D64)</f>
        <v>AutoCore Robótica</v>
      </c>
      <c r="M28" s="15" t="s">
        <v>401</v>
      </c>
    </row>
    <row r="29" ht="84.0" customHeight="1">
      <c r="A29" s="28" t="s">
        <v>386</v>
      </c>
      <c r="B29" s="28" t="s">
        <v>402</v>
      </c>
      <c r="C29" s="24">
        <v>5.0</v>
      </c>
      <c r="D29" s="29" t="s">
        <v>235</v>
      </c>
      <c r="E29" s="24">
        <v>1.0</v>
      </c>
      <c r="F29" s="29">
        <f>VLOOKUP($A29&amp;"-"&amp;$E29,'Cotações'!$A$8:$K$67,6,FALSE)</f>
        <v>1</v>
      </c>
      <c r="G29" s="29">
        <f t="shared" si="1"/>
        <v>5</v>
      </c>
      <c r="H29" s="30">
        <f>IF(VLOOKUP($A29&amp;"-"&amp;$E29,'Cotações'!$A$8:$K$67,7,FALSE)=0,"",VLOOKUP($A29&amp;"-"&amp;$E29,'Cotações'!$A$8:$K$67,7,FALSE))</f>
        <v>0.43</v>
      </c>
      <c r="I29" s="30">
        <f t="shared" si="2"/>
        <v>2.15</v>
      </c>
      <c r="J29" s="31" t="str">
        <f>IFERROR(HYPERLINK('Cotações'!J65,'Cotações'!D65),'Cotações'!D65)</f>
        <v>Plenobras</v>
      </c>
      <c r="K29" s="31" t="str">
        <f>IFERROR(HYPERLINK('Cotações'!J66,'Cotações'!D66),'Cotações'!D66)</f>
        <v>Proesi</v>
      </c>
      <c r="L29" s="31" t="str">
        <f>IFERROR(HYPERLINK('Cotações'!J67,'Cotações'!D67),'Cotações'!D67)</f>
        <v>Dimensional</v>
      </c>
      <c r="M29" s="28" t="s">
        <v>403</v>
      </c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34.5" customHeight="1">
      <c r="A31" s="19" t="s">
        <v>404</v>
      </c>
    </row>
    <row r="32" ht="30.0" customHeight="1">
      <c r="A32" s="1" t="s">
        <v>405</v>
      </c>
    </row>
    <row r="33" ht="22.5" customHeight="1">
      <c r="A33" s="23" t="s">
        <v>406</v>
      </c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E0A0BFC-6C6A-4ECB-8021-58261B685053}" filter="1" showAutoFilter="1">
      <autoFilter ref="$A$9:$M$29"/>
    </customSheetView>
  </customSheetViews>
  <mergeCells count="12">
    <mergeCell ref="K6:M6"/>
    <mergeCell ref="A7:M7"/>
    <mergeCell ref="A31:M31"/>
    <mergeCell ref="A32:M32"/>
    <mergeCell ref="A33:M33"/>
    <mergeCell ref="A2:M2"/>
    <mergeCell ref="A3:M3"/>
    <mergeCell ref="A4:M4"/>
    <mergeCell ref="A5:M5"/>
    <mergeCell ref="A6:C6"/>
    <mergeCell ref="D6:F6"/>
    <mergeCell ref="G6:I6"/>
  </mergeCells>
  <conditionalFormatting sqref="H10:I29">
    <cfRule type="expression" dxfId="5" priority="1">
      <formula>AND($C10&gt;0,$H10="")</formula>
    </cfRule>
  </conditionalFormatting>
  <dataValidations>
    <dataValidation type="decimal" allowBlank="1" sqref="C10:C29">
      <formula1>0.0</formula1>
      <formula2>9999.0</formula2>
    </dataValidation>
    <dataValidation type="list" allowBlank="1" sqref="E10:E29">
      <formula1>"1,2,3"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324F"/>
    <pageSetUpPr/>
  </sheetPr>
  <sheetViews>
    <sheetView showGridLines="0"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1" width="6.5"/>
    <col customWidth="1" min="2" max="2" width="5.0"/>
    <col customWidth="1" min="3" max="3" width="6.5"/>
    <col customWidth="1" min="4" max="4" width="17.0"/>
    <col customWidth="1" min="5" max="5" width="31.13"/>
    <col customWidth="1" min="6" max="6" width="7.25"/>
    <col customWidth="1" min="7" max="7" width="11.38"/>
    <col customWidth="1" min="8" max="8" width="16.38"/>
    <col customWidth="1" min="9" max="9" width="20.5"/>
    <col customWidth="1" min="10" max="10" width="42.75"/>
    <col customWidth="1" min="11" max="11" width="38.38"/>
    <col customWidth="1" min="12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8.5" customHeight="1">
      <c r="A2" s="2" t="s">
        <v>44</v>
      </c>
    </row>
    <row r="3" ht="22.5" customHeight="1">
      <c r="A3" s="3" t="s">
        <v>45</v>
      </c>
    </row>
    <row r="4" ht="30.0" customHeight="1">
      <c r="A4" s="1" t="s">
        <v>46</v>
      </c>
    </row>
    <row r="5" ht="30.0" customHeight="1">
      <c r="A5" s="1" t="s">
        <v>47</v>
      </c>
    </row>
    <row r="6" ht="9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34.5" customHeight="1">
      <c r="A7" s="14" t="s">
        <v>48</v>
      </c>
      <c r="B7" s="14" t="s">
        <v>49</v>
      </c>
      <c r="C7" s="14" t="s">
        <v>50</v>
      </c>
      <c r="D7" s="14" t="s">
        <v>51</v>
      </c>
      <c r="E7" s="14" t="s">
        <v>52</v>
      </c>
      <c r="F7" s="14" t="s">
        <v>53</v>
      </c>
      <c r="G7" s="14" t="s">
        <v>54</v>
      </c>
      <c r="H7" s="14" t="s">
        <v>55</v>
      </c>
      <c r="I7" s="14" t="s">
        <v>56</v>
      </c>
      <c r="J7" s="14" t="s">
        <v>57</v>
      </c>
      <c r="K7" s="14" t="s">
        <v>58</v>
      </c>
    </row>
    <row r="8" ht="73.5" customHeight="1">
      <c r="A8" s="15" t="s">
        <v>59</v>
      </c>
      <c r="B8" s="15" t="s">
        <v>60</v>
      </c>
      <c r="C8" s="15">
        <v>1.0</v>
      </c>
      <c r="D8" s="15" t="s">
        <v>61</v>
      </c>
      <c r="E8" s="15" t="s">
        <v>62</v>
      </c>
      <c r="F8" s="16">
        <v>1.0</v>
      </c>
      <c r="G8" s="17">
        <v>75.86</v>
      </c>
      <c r="H8" s="15" t="s">
        <v>63</v>
      </c>
      <c r="I8" s="15" t="s">
        <v>64</v>
      </c>
      <c r="J8" s="18" t="s">
        <v>65</v>
      </c>
      <c r="K8" s="15" t="s">
        <v>66</v>
      </c>
    </row>
    <row r="9" ht="73.5" customHeight="1">
      <c r="A9" s="15" t="s">
        <v>67</v>
      </c>
      <c r="B9" s="15" t="s">
        <v>60</v>
      </c>
      <c r="C9" s="15">
        <v>2.0</v>
      </c>
      <c r="D9" s="15" t="s">
        <v>68</v>
      </c>
      <c r="E9" s="15" t="s">
        <v>62</v>
      </c>
      <c r="F9" s="16">
        <v>1.0</v>
      </c>
      <c r="G9" s="17">
        <v>76.4</v>
      </c>
      <c r="H9" s="15" t="s">
        <v>63</v>
      </c>
      <c r="I9" s="15" t="s">
        <v>69</v>
      </c>
      <c r="J9" s="18" t="s">
        <v>70</v>
      </c>
      <c r="K9" s="15" t="s">
        <v>71</v>
      </c>
    </row>
    <row r="10" ht="73.5" customHeight="1">
      <c r="A10" s="15" t="s">
        <v>72</v>
      </c>
      <c r="B10" s="15" t="s">
        <v>60</v>
      </c>
      <c r="C10" s="15">
        <v>3.0</v>
      </c>
      <c r="D10" s="15" t="s">
        <v>73</v>
      </c>
      <c r="E10" s="15" t="s">
        <v>62</v>
      </c>
      <c r="F10" s="16">
        <v>1.0</v>
      </c>
      <c r="G10" s="17"/>
      <c r="H10" s="15" t="s">
        <v>74</v>
      </c>
      <c r="I10" s="15" t="s">
        <v>75</v>
      </c>
      <c r="J10" s="18" t="s">
        <v>76</v>
      </c>
      <c r="K10" s="15" t="s">
        <v>77</v>
      </c>
    </row>
    <row r="11" ht="73.5" customHeight="1">
      <c r="A11" s="15" t="s">
        <v>78</v>
      </c>
      <c r="B11" s="15" t="s">
        <v>79</v>
      </c>
      <c r="C11" s="15">
        <v>1.0</v>
      </c>
      <c r="D11" s="15" t="s">
        <v>80</v>
      </c>
      <c r="E11" s="15" t="s">
        <v>81</v>
      </c>
      <c r="F11" s="16">
        <v>1.0</v>
      </c>
      <c r="G11" s="17">
        <v>102.9</v>
      </c>
      <c r="H11" s="15" t="s">
        <v>63</v>
      </c>
      <c r="I11" s="15" t="s">
        <v>82</v>
      </c>
      <c r="J11" s="18" t="s">
        <v>83</v>
      </c>
      <c r="K11" s="15" t="s">
        <v>84</v>
      </c>
    </row>
    <row r="12" ht="73.5" customHeight="1">
      <c r="A12" s="15" t="s">
        <v>85</v>
      </c>
      <c r="B12" s="15" t="s">
        <v>79</v>
      </c>
      <c r="C12" s="15">
        <v>2.0</v>
      </c>
      <c r="D12" s="15" t="s">
        <v>86</v>
      </c>
      <c r="E12" s="15" t="s">
        <v>87</v>
      </c>
      <c r="F12" s="16">
        <v>1.0</v>
      </c>
      <c r="G12" s="17"/>
      <c r="H12" s="15" t="s">
        <v>74</v>
      </c>
      <c r="I12" s="15" t="s">
        <v>69</v>
      </c>
      <c r="J12" s="18" t="s">
        <v>88</v>
      </c>
      <c r="K12" s="15" t="s">
        <v>89</v>
      </c>
    </row>
    <row r="13" ht="73.5" customHeight="1">
      <c r="A13" s="15" t="s">
        <v>90</v>
      </c>
      <c r="B13" s="15" t="s">
        <v>79</v>
      </c>
      <c r="C13" s="15">
        <v>3.0</v>
      </c>
      <c r="D13" s="15" t="s">
        <v>91</v>
      </c>
      <c r="E13" s="15" t="s">
        <v>92</v>
      </c>
      <c r="F13" s="16">
        <v>1.0</v>
      </c>
      <c r="G13" s="17">
        <v>154.0</v>
      </c>
      <c r="H13" s="15" t="s">
        <v>63</v>
      </c>
      <c r="I13" s="15" t="s">
        <v>75</v>
      </c>
      <c r="J13" s="18" t="s">
        <v>93</v>
      </c>
      <c r="K13" s="15" t="s">
        <v>94</v>
      </c>
    </row>
    <row r="14" ht="73.5" customHeight="1">
      <c r="A14" s="15" t="s">
        <v>95</v>
      </c>
      <c r="B14" s="15" t="s">
        <v>96</v>
      </c>
      <c r="C14" s="15">
        <v>1.0</v>
      </c>
      <c r="D14" s="15" t="s">
        <v>97</v>
      </c>
      <c r="E14" s="15" t="s">
        <v>98</v>
      </c>
      <c r="F14" s="16">
        <v>1.0</v>
      </c>
      <c r="G14" s="17">
        <v>44.99</v>
      </c>
      <c r="H14" s="15" t="s">
        <v>63</v>
      </c>
      <c r="I14" s="15" t="s">
        <v>64</v>
      </c>
      <c r="J14" s="18" t="s">
        <v>99</v>
      </c>
      <c r="K14" s="15" t="s">
        <v>100</v>
      </c>
    </row>
    <row r="15" ht="73.5" customHeight="1">
      <c r="A15" s="15" t="s">
        <v>101</v>
      </c>
      <c r="B15" s="15" t="s">
        <v>96</v>
      </c>
      <c r="C15" s="15">
        <v>2.0</v>
      </c>
      <c r="D15" s="15" t="s">
        <v>102</v>
      </c>
      <c r="E15" s="15" t="s">
        <v>104</v>
      </c>
      <c r="F15" s="16">
        <v>1.0</v>
      </c>
      <c r="G15" s="17">
        <v>39.9</v>
      </c>
      <c r="H15" s="15" t="s">
        <v>63</v>
      </c>
      <c r="I15" s="15" t="s">
        <v>69</v>
      </c>
      <c r="J15" s="18" t="s">
        <v>109</v>
      </c>
      <c r="K15" s="15" t="s">
        <v>110</v>
      </c>
    </row>
    <row r="16" ht="73.5" customHeight="1">
      <c r="A16" s="15" t="s">
        <v>111</v>
      </c>
      <c r="B16" s="15" t="s">
        <v>96</v>
      </c>
      <c r="C16" s="15">
        <v>3.0</v>
      </c>
      <c r="D16" s="15" t="s">
        <v>112</v>
      </c>
      <c r="E16" s="15" t="s">
        <v>104</v>
      </c>
      <c r="F16" s="16">
        <v>1.0</v>
      </c>
      <c r="G16" s="17"/>
      <c r="H16" s="15" t="s">
        <v>74</v>
      </c>
      <c r="I16" s="15" t="s">
        <v>75</v>
      </c>
      <c r="J16" s="18" t="s">
        <v>114</v>
      </c>
      <c r="K16" s="15" t="s">
        <v>116</v>
      </c>
    </row>
    <row r="17" ht="73.5" customHeight="1">
      <c r="A17" s="15" t="s">
        <v>118</v>
      </c>
      <c r="B17" s="15" t="s">
        <v>119</v>
      </c>
      <c r="C17" s="15">
        <v>1.0</v>
      </c>
      <c r="D17" s="15" t="s">
        <v>120</v>
      </c>
      <c r="E17" s="15" t="s">
        <v>121</v>
      </c>
      <c r="F17" s="16">
        <v>1.0</v>
      </c>
      <c r="G17" s="17">
        <v>25.2</v>
      </c>
      <c r="H17" s="15" t="s">
        <v>63</v>
      </c>
      <c r="I17" s="15" t="s">
        <v>64</v>
      </c>
      <c r="J17" s="18" t="s">
        <v>125</v>
      </c>
      <c r="K17" s="15" t="s">
        <v>127</v>
      </c>
    </row>
    <row r="18" ht="73.5" customHeight="1">
      <c r="A18" s="15" t="s">
        <v>130</v>
      </c>
      <c r="B18" s="15" t="s">
        <v>119</v>
      </c>
      <c r="C18" s="15">
        <v>2.0</v>
      </c>
      <c r="D18" s="15" t="s">
        <v>133</v>
      </c>
      <c r="E18" s="15" t="s">
        <v>134</v>
      </c>
      <c r="F18" s="16">
        <v>1.0</v>
      </c>
      <c r="G18" s="17"/>
      <c r="H18" s="15" t="s">
        <v>74</v>
      </c>
      <c r="I18" s="15" t="s">
        <v>75</v>
      </c>
      <c r="J18" s="18" t="s">
        <v>139</v>
      </c>
      <c r="K18" s="15" t="s">
        <v>116</v>
      </c>
    </row>
    <row r="19" ht="73.5" customHeight="1">
      <c r="A19" s="15" t="s">
        <v>140</v>
      </c>
      <c r="B19" s="15" t="s">
        <v>119</v>
      </c>
      <c r="C19" s="15">
        <v>3.0</v>
      </c>
      <c r="D19" s="15" t="s">
        <v>142</v>
      </c>
      <c r="E19" s="15" t="s">
        <v>143</v>
      </c>
      <c r="F19" s="16">
        <v>1.0</v>
      </c>
      <c r="G19" s="17">
        <v>45.0</v>
      </c>
      <c r="H19" s="15" t="s">
        <v>63</v>
      </c>
      <c r="I19" s="15" t="s">
        <v>75</v>
      </c>
      <c r="J19" s="18" t="s">
        <v>145</v>
      </c>
      <c r="K19" s="15" t="s">
        <v>146</v>
      </c>
    </row>
    <row r="20" ht="73.5" customHeight="1">
      <c r="A20" s="15" t="s">
        <v>147</v>
      </c>
      <c r="B20" s="15" t="s">
        <v>148</v>
      </c>
      <c r="C20" s="15">
        <v>1.0</v>
      </c>
      <c r="D20" s="15" t="s">
        <v>149</v>
      </c>
      <c r="E20" s="15" t="s">
        <v>150</v>
      </c>
      <c r="F20" s="16">
        <v>1.0</v>
      </c>
      <c r="G20" s="17">
        <v>16.2</v>
      </c>
      <c r="H20" s="15" t="s">
        <v>63</v>
      </c>
      <c r="I20" s="15" t="s">
        <v>64</v>
      </c>
      <c r="J20" s="18" t="s">
        <v>151</v>
      </c>
      <c r="K20" s="15" t="s">
        <v>152</v>
      </c>
    </row>
    <row r="21" ht="73.5" customHeight="1">
      <c r="A21" s="15" t="s">
        <v>153</v>
      </c>
      <c r="B21" s="15" t="s">
        <v>148</v>
      </c>
      <c r="C21" s="15">
        <v>2.0</v>
      </c>
      <c r="D21" s="15" t="s">
        <v>154</v>
      </c>
      <c r="E21" s="15" t="s">
        <v>155</v>
      </c>
      <c r="F21" s="16">
        <v>1.0</v>
      </c>
      <c r="G21" s="17"/>
      <c r="H21" s="15" t="s">
        <v>74</v>
      </c>
      <c r="I21" s="15" t="s">
        <v>75</v>
      </c>
      <c r="J21" s="18" t="s">
        <v>156</v>
      </c>
      <c r="K21" s="15" t="s">
        <v>157</v>
      </c>
    </row>
    <row r="22" ht="73.5" customHeight="1">
      <c r="A22" s="15" t="s">
        <v>158</v>
      </c>
      <c r="B22" s="15" t="s">
        <v>148</v>
      </c>
      <c r="C22" s="15">
        <v>3.0</v>
      </c>
      <c r="D22" s="15" t="s">
        <v>112</v>
      </c>
      <c r="E22" s="15" t="s">
        <v>155</v>
      </c>
      <c r="F22" s="16">
        <v>1.0</v>
      </c>
      <c r="G22" s="17"/>
      <c r="H22" s="15" t="s">
        <v>74</v>
      </c>
      <c r="I22" s="15" t="s">
        <v>75</v>
      </c>
      <c r="J22" s="18" t="s">
        <v>159</v>
      </c>
      <c r="K22" s="15" t="s">
        <v>116</v>
      </c>
    </row>
    <row r="23" ht="73.5" customHeight="1">
      <c r="A23" s="15" t="s">
        <v>160</v>
      </c>
      <c r="B23" s="15" t="s">
        <v>161</v>
      </c>
      <c r="C23" s="15">
        <v>1.0</v>
      </c>
      <c r="D23" s="15" t="s">
        <v>162</v>
      </c>
      <c r="E23" s="15" t="s">
        <v>163</v>
      </c>
      <c r="F23" s="16">
        <v>10.0</v>
      </c>
      <c r="G23" s="17">
        <v>0.9</v>
      </c>
      <c r="H23" s="15" t="s">
        <v>63</v>
      </c>
      <c r="I23" s="15" t="s">
        <v>164</v>
      </c>
      <c r="J23" s="18" t="s">
        <v>166</v>
      </c>
      <c r="K23" s="15" t="s">
        <v>167</v>
      </c>
    </row>
    <row r="24" ht="73.5" customHeight="1">
      <c r="A24" s="15" t="s">
        <v>168</v>
      </c>
      <c r="B24" s="15" t="s">
        <v>161</v>
      </c>
      <c r="C24" s="15">
        <v>2.0</v>
      </c>
      <c r="D24" s="15" t="s">
        <v>73</v>
      </c>
      <c r="E24" s="15" t="s">
        <v>170</v>
      </c>
      <c r="F24" s="16">
        <v>1.0</v>
      </c>
      <c r="G24" s="17"/>
      <c r="H24" s="15" t="s">
        <v>74</v>
      </c>
      <c r="I24" s="15" t="s">
        <v>75</v>
      </c>
      <c r="J24" s="18" t="s">
        <v>172</v>
      </c>
      <c r="K24" s="15" t="s">
        <v>173</v>
      </c>
    </row>
    <row r="25" ht="73.5" customHeight="1">
      <c r="A25" s="15" t="s">
        <v>174</v>
      </c>
      <c r="B25" s="15" t="s">
        <v>161</v>
      </c>
      <c r="C25" s="15">
        <v>3.0</v>
      </c>
      <c r="D25" s="15" t="s">
        <v>175</v>
      </c>
      <c r="E25" s="15" t="s">
        <v>176</v>
      </c>
      <c r="F25" s="16">
        <v>10.0</v>
      </c>
      <c r="G25" s="17"/>
      <c r="H25" s="15" t="s">
        <v>74</v>
      </c>
      <c r="I25" s="15" t="s">
        <v>75</v>
      </c>
      <c r="J25" s="18" t="s">
        <v>177</v>
      </c>
      <c r="K25" s="15" t="s">
        <v>173</v>
      </c>
    </row>
    <row r="26" ht="73.5" customHeight="1">
      <c r="A26" s="15" t="s">
        <v>178</v>
      </c>
      <c r="B26" s="15" t="s">
        <v>179</v>
      </c>
      <c r="C26" s="15">
        <v>1.0</v>
      </c>
      <c r="D26" s="15" t="s">
        <v>175</v>
      </c>
      <c r="E26" s="15" t="s">
        <v>180</v>
      </c>
      <c r="F26" s="16">
        <v>10.0</v>
      </c>
      <c r="G26" s="17">
        <v>1.9</v>
      </c>
      <c r="H26" s="15" t="s">
        <v>63</v>
      </c>
      <c r="I26" s="15" t="s">
        <v>64</v>
      </c>
      <c r="J26" s="18" t="s">
        <v>181</v>
      </c>
      <c r="K26" s="15" t="s">
        <v>182</v>
      </c>
    </row>
    <row r="27" ht="73.5" customHeight="1">
      <c r="A27" s="15" t="s">
        <v>184</v>
      </c>
      <c r="B27" s="15" t="s">
        <v>179</v>
      </c>
      <c r="C27" s="15">
        <v>2.0</v>
      </c>
      <c r="D27" s="15" t="s">
        <v>186</v>
      </c>
      <c r="E27" s="15" t="s">
        <v>188</v>
      </c>
      <c r="F27" s="16">
        <v>1.0</v>
      </c>
      <c r="G27" s="17"/>
      <c r="H27" s="15" t="s">
        <v>74</v>
      </c>
      <c r="I27" s="15" t="s">
        <v>75</v>
      </c>
      <c r="J27" s="18" t="s">
        <v>189</v>
      </c>
      <c r="K27" s="15" t="s">
        <v>190</v>
      </c>
    </row>
    <row r="28" ht="73.5" customHeight="1">
      <c r="A28" s="15" t="s">
        <v>191</v>
      </c>
      <c r="B28" s="15" t="s">
        <v>179</v>
      </c>
      <c r="C28" s="15">
        <v>3.0</v>
      </c>
      <c r="D28" s="15" t="s">
        <v>192</v>
      </c>
      <c r="E28" s="15" t="s">
        <v>188</v>
      </c>
      <c r="F28" s="16">
        <v>1.0</v>
      </c>
      <c r="G28" s="17"/>
      <c r="H28" s="15" t="s">
        <v>74</v>
      </c>
      <c r="I28" s="15" t="s">
        <v>75</v>
      </c>
      <c r="J28" s="18" t="s">
        <v>193</v>
      </c>
      <c r="K28" s="15" t="s">
        <v>173</v>
      </c>
    </row>
    <row r="29" ht="73.5" customHeight="1">
      <c r="A29" s="15" t="s">
        <v>194</v>
      </c>
      <c r="B29" s="15" t="s">
        <v>195</v>
      </c>
      <c r="C29" s="15">
        <v>1.0</v>
      </c>
      <c r="D29" s="15" t="s">
        <v>73</v>
      </c>
      <c r="E29" s="15" t="s">
        <v>196</v>
      </c>
      <c r="F29" s="16">
        <v>1.0</v>
      </c>
      <c r="G29" s="17"/>
      <c r="H29" s="15" t="s">
        <v>74</v>
      </c>
      <c r="I29" s="15" t="s">
        <v>75</v>
      </c>
      <c r="J29" s="18" t="s">
        <v>199</v>
      </c>
      <c r="K29" s="15" t="s">
        <v>200</v>
      </c>
    </row>
    <row r="30" ht="73.5" customHeight="1">
      <c r="A30" s="15" t="s">
        <v>202</v>
      </c>
      <c r="B30" s="15" t="s">
        <v>195</v>
      </c>
      <c r="C30" s="15">
        <v>2.0</v>
      </c>
      <c r="D30" s="15" t="s">
        <v>203</v>
      </c>
      <c r="E30" s="15" t="s">
        <v>204</v>
      </c>
      <c r="F30" s="16">
        <v>1.0</v>
      </c>
      <c r="G30" s="17"/>
      <c r="H30" s="15" t="s">
        <v>74</v>
      </c>
      <c r="I30" s="15" t="s">
        <v>75</v>
      </c>
      <c r="J30" s="18" t="s">
        <v>205</v>
      </c>
      <c r="K30" s="15" t="s">
        <v>206</v>
      </c>
    </row>
    <row r="31" ht="73.5" customHeight="1">
      <c r="A31" s="15" t="s">
        <v>207</v>
      </c>
      <c r="B31" s="15" t="s">
        <v>195</v>
      </c>
      <c r="C31" s="15">
        <v>3.0</v>
      </c>
      <c r="D31" s="15" t="s">
        <v>208</v>
      </c>
      <c r="E31" s="15" t="s">
        <v>209</v>
      </c>
      <c r="F31" s="16">
        <v>4.0</v>
      </c>
      <c r="G31" s="17"/>
      <c r="H31" s="15" t="s">
        <v>74</v>
      </c>
      <c r="I31" s="15" t="s">
        <v>75</v>
      </c>
      <c r="J31" s="18" t="s">
        <v>210</v>
      </c>
      <c r="K31" s="15" t="s">
        <v>173</v>
      </c>
    </row>
    <row r="32" ht="73.5" customHeight="1">
      <c r="A32" s="15" t="s">
        <v>211</v>
      </c>
      <c r="B32" s="15" t="s">
        <v>212</v>
      </c>
      <c r="C32" s="15">
        <v>1.0</v>
      </c>
      <c r="D32" s="15" t="s">
        <v>213</v>
      </c>
      <c r="E32" s="15" t="s">
        <v>214</v>
      </c>
      <c r="F32" s="16">
        <v>1.0</v>
      </c>
      <c r="G32" s="17">
        <v>8.5</v>
      </c>
      <c r="H32" s="15" t="s">
        <v>63</v>
      </c>
      <c r="I32" s="15" t="s">
        <v>215</v>
      </c>
      <c r="J32" s="18" t="s">
        <v>217</v>
      </c>
      <c r="K32" s="15" t="s">
        <v>218</v>
      </c>
    </row>
    <row r="33" ht="73.5" customHeight="1">
      <c r="A33" s="15" t="s">
        <v>220</v>
      </c>
      <c r="B33" s="15" t="s">
        <v>212</v>
      </c>
      <c r="C33" s="15">
        <v>2.0</v>
      </c>
      <c r="D33" s="15" t="s">
        <v>221</v>
      </c>
      <c r="E33" s="15" t="s">
        <v>222</v>
      </c>
      <c r="F33" s="16">
        <v>1.0</v>
      </c>
      <c r="G33" s="17"/>
      <c r="H33" s="15" t="s">
        <v>74</v>
      </c>
      <c r="I33" s="15" t="s">
        <v>75</v>
      </c>
      <c r="J33" s="18" t="s">
        <v>223</v>
      </c>
      <c r="K33" s="15" t="s">
        <v>224</v>
      </c>
    </row>
    <row r="34" ht="73.5" customHeight="1">
      <c r="A34" s="15" t="s">
        <v>225</v>
      </c>
      <c r="B34" s="15" t="s">
        <v>212</v>
      </c>
      <c r="C34" s="15">
        <v>3.0</v>
      </c>
      <c r="D34" s="15" t="s">
        <v>226</v>
      </c>
      <c r="E34" s="15" t="s">
        <v>227</v>
      </c>
      <c r="F34" s="16">
        <v>1.0</v>
      </c>
      <c r="G34" s="17"/>
      <c r="H34" s="15" t="s">
        <v>74</v>
      </c>
      <c r="I34" s="15" t="s">
        <v>75</v>
      </c>
      <c r="J34" s="18" t="s">
        <v>228</v>
      </c>
      <c r="K34" s="15" t="s">
        <v>229</v>
      </c>
    </row>
    <row r="35" ht="73.5" customHeight="1">
      <c r="A35" s="15" t="s">
        <v>230</v>
      </c>
      <c r="B35" s="15" t="s">
        <v>231</v>
      </c>
      <c r="C35" s="15">
        <v>1.0</v>
      </c>
      <c r="D35" s="15" t="s">
        <v>186</v>
      </c>
      <c r="E35" s="15" t="s">
        <v>233</v>
      </c>
      <c r="F35" s="16">
        <v>10.0</v>
      </c>
      <c r="G35" s="17">
        <v>7.9</v>
      </c>
      <c r="H35" s="15" t="s">
        <v>63</v>
      </c>
      <c r="I35" s="15" t="s">
        <v>64</v>
      </c>
      <c r="J35" s="18" t="s">
        <v>236</v>
      </c>
      <c r="K35" s="15" t="s">
        <v>237</v>
      </c>
    </row>
    <row r="36" ht="73.5" customHeight="1">
      <c r="A36" s="15" t="s">
        <v>238</v>
      </c>
      <c r="B36" s="15" t="s">
        <v>231</v>
      </c>
      <c r="C36" s="15">
        <v>2.0</v>
      </c>
      <c r="D36" s="15" t="s">
        <v>239</v>
      </c>
      <c r="E36" s="15" t="s">
        <v>240</v>
      </c>
      <c r="F36" s="16">
        <v>1.0</v>
      </c>
      <c r="G36" s="17"/>
      <c r="H36" s="15" t="s">
        <v>74</v>
      </c>
      <c r="I36" s="15" t="s">
        <v>75</v>
      </c>
      <c r="J36" s="18" t="s">
        <v>241</v>
      </c>
      <c r="K36" s="15" t="s">
        <v>173</v>
      </c>
    </row>
    <row r="37" ht="73.5" customHeight="1">
      <c r="A37" s="15" t="s">
        <v>242</v>
      </c>
      <c r="B37" s="15" t="s">
        <v>231</v>
      </c>
      <c r="C37" s="15">
        <v>3.0</v>
      </c>
      <c r="D37" s="15" t="s">
        <v>149</v>
      </c>
      <c r="E37" s="15" t="s">
        <v>233</v>
      </c>
      <c r="F37" s="16">
        <v>10.0</v>
      </c>
      <c r="G37" s="17"/>
      <c r="H37" s="15" t="s">
        <v>74</v>
      </c>
      <c r="I37" s="15" t="s">
        <v>75</v>
      </c>
      <c r="J37" s="18" t="s">
        <v>243</v>
      </c>
      <c r="K37" s="15" t="s">
        <v>173</v>
      </c>
    </row>
    <row r="38" ht="73.5" customHeight="1">
      <c r="A38" s="15" t="s">
        <v>244</v>
      </c>
      <c r="B38" s="15" t="s">
        <v>245</v>
      </c>
      <c r="C38" s="15">
        <v>1.0</v>
      </c>
      <c r="D38" s="15" t="s">
        <v>175</v>
      </c>
      <c r="E38" s="15" t="s">
        <v>248</v>
      </c>
      <c r="F38" s="16">
        <v>1.0</v>
      </c>
      <c r="G38" s="17">
        <v>1.76</v>
      </c>
      <c r="H38" s="15" t="s">
        <v>63</v>
      </c>
      <c r="I38" s="15" t="s">
        <v>64</v>
      </c>
      <c r="J38" s="18" t="s">
        <v>249</v>
      </c>
      <c r="K38" s="15" t="s">
        <v>250</v>
      </c>
    </row>
    <row r="39" ht="73.5" customHeight="1">
      <c r="A39" s="15" t="s">
        <v>251</v>
      </c>
      <c r="B39" s="15" t="s">
        <v>245</v>
      </c>
      <c r="C39" s="15">
        <v>2.0</v>
      </c>
      <c r="D39" s="15" t="s">
        <v>252</v>
      </c>
      <c r="E39" s="15" t="s">
        <v>253</v>
      </c>
      <c r="F39" s="16">
        <v>1.0</v>
      </c>
      <c r="G39" s="17"/>
      <c r="H39" s="15" t="s">
        <v>74</v>
      </c>
      <c r="I39" s="15" t="s">
        <v>75</v>
      </c>
      <c r="J39" s="18" t="s">
        <v>254</v>
      </c>
      <c r="K39" s="15" t="s">
        <v>157</v>
      </c>
    </row>
    <row r="40" ht="73.5" customHeight="1">
      <c r="A40" s="15" t="s">
        <v>255</v>
      </c>
      <c r="B40" s="15" t="s">
        <v>245</v>
      </c>
      <c r="C40" s="15">
        <v>3.0</v>
      </c>
      <c r="D40" s="15" t="s">
        <v>256</v>
      </c>
      <c r="E40" s="15" t="s">
        <v>257</v>
      </c>
      <c r="F40" s="16">
        <v>1.0</v>
      </c>
      <c r="G40" s="17"/>
      <c r="H40" s="15" t="s">
        <v>74</v>
      </c>
      <c r="I40" s="15" t="s">
        <v>75</v>
      </c>
      <c r="J40" s="18" t="s">
        <v>260</v>
      </c>
      <c r="K40" s="15" t="s">
        <v>157</v>
      </c>
    </row>
    <row r="41" ht="73.5" customHeight="1">
      <c r="A41" s="15" t="s">
        <v>262</v>
      </c>
      <c r="B41" s="15" t="s">
        <v>263</v>
      </c>
      <c r="C41" s="15">
        <v>1.0</v>
      </c>
      <c r="D41" s="15" t="s">
        <v>97</v>
      </c>
      <c r="E41" s="15" t="s">
        <v>264</v>
      </c>
      <c r="F41" s="16">
        <v>1.0</v>
      </c>
      <c r="G41" s="17">
        <v>16.99</v>
      </c>
      <c r="H41" s="15" t="s">
        <v>63</v>
      </c>
      <c r="I41" s="15" t="s">
        <v>64</v>
      </c>
      <c r="J41" s="18" t="s">
        <v>265</v>
      </c>
      <c r="K41" s="15" t="s">
        <v>266</v>
      </c>
    </row>
    <row r="42" ht="73.5" customHeight="1">
      <c r="A42" s="15" t="s">
        <v>267</v>
      </c>
      <c r="B42" s="15" t="s">
        <v>263</v>
      </c>
      <c r="C42" s="15">
        <v>2.0</v>
      </c>
      <c r="D42" s="15" t="s">
        <v>68</v>
      </c>
      <c r="E42" s="15" t="s">
        <v>268</v>
      </c>
      <c r="F42" s="16">
        <v>1.0</v>
      </c>
      <c r="G42" s="17"/>
      <c r="H42" s="15" t="s">
        <v>74</v>
      </c>
      <c r="I42" s="15" t="s">
        <v>75</v>
      </c>
      <c r="J42" s="18" t="s">
        <v>269</v>
      </c>
      <c r="K42" s="15" t="s">
        <v>173</v>
      </c>
    </row>
    <row r="43" ht="73.5" customHeight="1">
      <c r="A43" s="15" t="s">
        <v>271</v>
      </c>
      <c r="B43" s="15" t="s">
        <v>263</v>
      </c>
      <c r="C43" s="15">
        <v>3.0</v>
      </c>
      <c r="D43" s="15" t="s">
        <v>186</v>
      </c>
      <c r="E43" s="15" t="s">
        <v>273</v>
      </c>
      <c r="F43" s="16">
        <v>1.0</v>
      </c>
      <c r="G43" s="17"/>
      <c r="H43" s="15" t="s">
        <v>74</v>
      </c>
      <c r="I43" s="15" t="s">
        <v>75</v>
      </c>
      <c r="J43" s="18" t="s">
        <v>274</v>
      </c>
      <c r="K43" s="15" t="s">
        <v>275</v>
      </c>
    </row>
    <row r="44" ht="73.5" customHeight="1">
      <c r="A44" s="15" t="s">
        <v>276</v>
      </c>
      <c r="B44" s="15" t="s">
        <v>277</v>
      </c>
      <c r="C44" s="15">
        <v>1.0</v>
      </c>
      <c r="D44" s="15" t="s">
        <v>278</v>
      </c>
      <c r="E44" s="15" t="s">
        <v>279</v>
      </c>
      <c r="F44" s="16">
        <v>1.0</v>
      </c>
      <c r="G44" s="17">
        <v>410.0</v>
      </c>
      <c r="H44" s="15" t="s">
        <v>63</v>
      </c>
      <c r="I44" s="15" t="s">
        <v>280</v>
      </c>
      <c r="J44" s="18" t="s">
        <v>281</v>
      </c>
      <c r="K44" s="15" t="s">
        <v>282</v>
      </c>
    </row>
    <row r="45" ht="73.5" customHeight="1">
      <c r="A45" s="15" t="s">
        <v>283</v>
      </c>
      <c r="B45" s="15" t="s">
        <v>277</v>
      </c>
      <c r="C45" s="15">
        <v>2.0</v>
      </c>
      <c r="D45" s="15" t="s">
        <v>284</v>
      </c>
      <c r="E45" s="15" t="s">
        <v>285</v>
      </c>
      <c r="F45" s="16">
        <v>1.0</v>
      </c>
      <c r="G45" s="17">
        <v>700.0</v>
      </c>
      <c r="H45" s="15" t="s">
        <v>63</v>
      </c>
      <c r="I45" s="15" t="s">
        <v>75</v>
      </c>
      <c r="J45" s="18" t="s">
        <v>286</v>
      </c>
      <c r="K45" s="15" t="s">
        <v>287</v>
      </c>
    </row>
    <row r="46" ht="73.5" customHeight="1">
      <c r="A46" s="15" t="s">
        <v>289</v>
      </c>
      <c r="B46" s="15" t="s">
        <v>277</v>
      </c>
      <c r="C46" s="15">
        <v>3.0</v>
      </c>
      <c r="D46" s="15" t="s">
        <v>291</v>
      </c>
      <c r="E46" s="15" t="s">
        <v>293</v>
      </c>
      <c r="F46" s="16">
        <v>1.0</v>
      </c>
      <c r="G46" s="17"/>
      <c r="H46" s="15" t="s">
        <v>74</v>
      </c>
      <c r="I46" s="15" t="s">
        <v>75</v>
      </c>
      <c r="J46" s="18" t="s">
        <v>294</v>
      </c>
      <c r="K46" s="15" t="s">
        <v>173</v>
      </c>
    </row>
    <row r="47" ht="73.5" customHeight="1">
      <c r="A47" s="15" t="s">
        <v>295</v>
      </c>
      <c r="B47" s="15" t="s">
        <v>296</v>
      </c>
      <c r="C47" s="15">
        <v>1.0</v>
      </c>
      <c r="D47" s="15" t="s">
        <v>97</v>
      </c>
      <c r="E47" s="15" t="s">
        <v>297</v>
      </c>
      <c r="F47" s="16">
        <v>1.0</v>
      </c>
      <c r="G47" s="17">
        <v>11.99</v>
      </c>
      <c r="H47" s="15" t="s">
        <v>63</v>
      </c>
      <c r="I47" s="15" t="s">
        <v>64</v>
      </c>
      <c r="J47" s="18" t="s">
        <v>298</v>
      </c>
      <c r="K47" s="15" t="s">
        <v>299</v>
      </c>
    </row>
    <row r="48" ht="73.5" customHeight="1">
      <c r="A48" s="15" t="s">
        <v>301</v>
      </c>
      <c r="B48" s="15" t="s">
        <v>296</v>
      </c>
      <c r="C48" s="15">
        <v>2.0</v>
      </c>
      <c r="D48" s="15" t="s">
        <v>186</v>
      </c>
      <c r="E48" s="15" t="s">
        <v>297</v>
      </c>
      <c r="F48" s="16">
        <v>1.0</v>
      </c>
      <c r="G48" s="17"/>
      <c r="H48" s="15" t="s">
        <v>74</v>
      </c>
      <c r="I48" s="15" t="s">
        <v>75</v>
      </c>
      <c r="J48" s="18" t="s">
        <v>303</v>
      </c>
      <c r="K48" s="15" t="s">
        <v>173</v>
      </c>
    </row>
    <row r="49" ht="73.5" customHeight="1">
      <c r="A49" s="15" t="s">
        <v>304</v>
      </c>
      <c r="B49" s="15" t="s">
        <v>296</v>
      </c>
      <c r="C49" s="15">
        <v>3.0</v>
      </c>
      <c r="D49" s="15" t="s">
        <v>305</v>
      </c>
      <c r="E49" s="15" t="s">
        <v>306</v>
      </c>
      <c r="F49" s="16">
        <v>1.0</v>
      </c>
      <c r="G49" s="17"/>
      <c r="H49" s="15" t="s">
        <v>74</v>
      </c>
      <c r="I49" s="15" t="s">
        <v>75</v>
      </c>
      <c r="J49" s="18" t="s">
        <v>307</v>
      </c>
      <c r="K49" s="15" t="s">
        <v>173</v>
      </c>
    </row>
    <row r="50" ht="73.5" customHeight="1">
      <c r="A50" s="15" t="s">
        <v>308</v>
      </c>
      <c r="B50" s="15" t="s">
        <v>309</v>
      </c>
      <c r="C50" s="15">
        <v>1.0</v>
      </c>
      <c r="D50" s="15" t="s">
        <v>192</v>
      </c>
      <c r="E50" s="15" t="s">
        <v>310</v>
      </c>
      <c r="F50" s="16">
        <v>1.0</v>
      </c>
      <c r="G50" s="17">
        <v>22.9</v>
      </c>
      <c r="H50" s="15" t="s">
        <v>63</v>
      </c>
      <c r="I50" s="15" t="s">
        <v>64</v>
      </c>
      <c r="J50" s="18" t="s">
        <v>313</v>
      </c>
      <c r="K50" s="15" t="s">
        <v>314</v>
      </c>
    </row>
    <row r="51" ht="73.5" customHeight="1">
      <c r="A51" s="15" t="s">
        <v>315</v>
      </c>
      <c r="B51" s="15" t="s">
        <v>309</v>
      </c>
      <c r="C51" s="15">
        <v>2.0</v>
      </c>
      <c r="D51" s="15" t="s">
        <v>97</v>
      </c>
      <c r="E51" s="15" t="s">
        <v>316</v>
      </c>
      <c r="F51" s="16">
        <v>1.0</v>
      </c>
      <c r="G51" s="17"/>
      <c r="H51" s="15" t="s">
        <v>74</v>
      </c>
      <c r="I51" s="15" t="s">
        <v>75</v>
      </c>
      <c r="J51" s="18" t="s">
        <v>317</v>
      </c>
      <c r="K51" s="15" t="s">
        <v>318</v>
      </c>
    </row>
    <row r="52" ht="73.5" customHeight="1">
      <c r="A52" s="15" t="s">
        <v>319</v>
      </c>
      <c r="B52" s="15" t="s">
        <v>309</v>
      </c>
      <c r="C52" s="15">
        <v>3.0</v>
      </c>
      <c r="D52" s="15" t="s">
        <v>320</v>
      </c>
      <c r="E52" s="15" t="s">
        <v>316</v>
      </c>
      <c r="F52" s="16">
        <v>1.0</v>
      </c>
      <c r="G52" s="17"/>
      <c r="H52" s="15" t="s">
        <v>74</v>
      </c>
      <c r="I52" s="15" t="s">
        <v>75</v>
      </c>
      <c r="J52" s="18" t="s">
        <v>321</v>
      </c>
      <c r="K52" s="15" t="s">
        <v>173</v>
      </c>
    </row>
    <row r="53" ht="73.5" customHeight="1">
      <c r="A53" s="15" t="s">
        <v>323</v>
      </c>
      <c r="B53" s="15" t="s">
        <v>325</v>
      </c>
      <c r="C53" s="15">
        <v>1.0</v>
      </c>
      <c r="D53" s="15" t="s">
        <v>226</v>
      </c>
      <c r="E53" s="15" t="s">
        <v>327</v>
      </c>
      <c r="F53" s="16">
        <v>1.0</v>
      </c>
      <c r="G53" s="17">
        <v>9.9</v>
      </c>
      <c r="H53" s="15" t="s">
        <v>63</v>
      </c>
      <c r="I53" s="15" t="s">
        <v>64</v>
      </c>
      <c r="J53" s="18" t="s">
        <v>328</v>
      </c>
      <c r="K53" s="15" t="s">
        <v>329</v>
      </c>
    </row>
    <row r="54" ht="73.5" customHeight="1">
      <c r="A54" s="15" t="s">
        <v>330</v>
      </c>
      <c r="B54" s="15" t="s">
        <v>325</v>
      </c>
      <c r="C54" s="15">
        <v>2.0</v>
      </c>
      <c r="D54" s="15" t="s">
        <v>186</v>
      </c>
      <c r="E54" s="15" t="s">
        <v>331</v>
      </c>
      <c r="F54" s="16">
        <v>1.0</v>
      </c>
      <c r="G54" s="17"/>
      <c r="H54" s="15" t="s">
        <v>74</v>
      </c>
      <c r="I54" s="15" t="s">
        <v>75</v>
      </c>
      <c r="J54" s="18" t="s">
        <v>332</v>
      </c>
      <c r="K54" s="15" t="s">
        <v>173</v>
      </c>
    </row>
    <row r="55" ht="73.5" customHeight="1">
      <c r="A55" s="15" t="s">
        <v>333</v>
      </c>
      <c r="B55" s="15" t="s">
        <v>325</v>
      </c>
      <c r="C55" s="15">
        <v>3.0</v>
      </c>
      <c r="D55" s="15" t="s">
        <v>334</v>
      </c>
      <c r="E55" s="15" t="s">
        <v>335</v>
      </c>
      <c r="F55" s="16">
        <v>1.0</v>
      </c>
      <c r="G55" s="17"/>
      <c r="H55" s="15" t="s">
        <v>74</v>
      </c>
      <c r="I55" s="15" t="s">
        <v>337</v>
      </c>
      <c r="J55" s="18" t="s">
        <v>338</v>
      </c>
      <c r="K55" s="15" t="s">
        <v>340</v>
      </c>
    </row>
    <row r="56" ht="73.5" customHeight="1">
      <c r="A56" s="15" t="s">
        <v>341</v>
      </c>
      <c r="B56" s="15" t="s">
        <v>342</v>
      </c>
      <c r="C56" s="15">
        <v>1.0</v>
      </c>
      <c r="D56" s="15" t="s">
        <v>186</v>
      </c>
      <c r="E56" s="15" t="s">
        <v>343</v>
      </c>
      <c r="F56" s="16">
        <v>1.0</v>
      </c>
      <c r="G56" s="17">
        <v>0.8</v>
      </c>
      <c r="H56" s="15" t="s">
        <v>63</v>
      </c>
      <c r="I56" s="15" t="s">
        <v>64</v>
      </c>
      <c r="J56" s="18" t="s">
        <v>344</v>
      </c>
      <c r="K56" s="15" t="s">
        <v>345</v>
      </c>
    </row>
    <row r="57" ht="73.5" customHeight="1">
      <c r="A57" s="15" t="s">
        <v>346</v>
      </c>
      <c r="B57" s="15" t="s">
        <v>342</v>
      </c>
      <c r="C57" s="15">
        <v>2.0</v>
      </c>
      <c r="D57" s="15" t="s">
        <v>305</v>
      </c>
      <c r="E57" s="15" t="s">
        <v>347</v>
      </c>
      <c r="F57" s="16">
        <v>1.0</v>
      </c>
      <c r="G57" s="17"/>
      <c r="H57" s="15" t="s">
        <v>74</v>
      </c>
      <c r="I57" s="15" t="s">
        <v>75</v>
      </c>
      <c r="J57" s="18" t="s">
        <v>348</v>
      </c>
      <c r="K57" s="15" t="s">
        <v>173</v>
      </c>
    </row>
    <row r="58" ht="73.5" customHeight="1">
      <c r="A58" s="15" t="s">
        <v>349</v>
      </c>
      <c r="B58" s="15" t="s">
        <v>342</v>
      </c>
      <c r="C58" s="15">
        <v>3.0</v>
      </c>
      <c r="D58" s="15" t="s">
        <v>68</v>
      </c>
      <c r="E58" s="15" t="s">
        <v>343</v>
      </c>
      <c r="F58" s="16">
        <v>1.0</v>
      </c>
      <c r="G58" s="17"/>
      <c r="H58" s="15" t="s">
        <v>74</v>
      </c>
      <c r="I58" s="15" t="s">
        <v>75</v>
      </c>
      <c r="J58" s="18" t="s">
        <v>353</v>
      </c>
      <c r="K58" s="15" t="s">
        <v>173</v>
      </c>
    </row>
    <row r="59" ht="73.5" customHeight="1">
      <c r="A59" s="15" t="s">
        <v>354</v>
      </c>
      <c r="B59" s="15" t="s">
        <v>355</v>
      </c>
      <c r="C59" s="15">
        <v>1.0</v>
      </c>
      <c r="D59" s="15" t="s">
        <v>356</v>
      </c>
      <c r="E59" s="15" t="s">
        <v>357</v>
      </c>
      <c r="F59" s="16">
        <v>4.0</v>
      </c>
      <c r="G59" s="17">
        <v>84.9</v>
      </c>
      <c r="H59" s="15" t="s">
        <v>63</v>
      </c>
      <c r="I59" s="15" t="s">
        <v>64</v>
      </c>
      <c r="J59" s="18" t="s">
        <v>358</v>
      </c>
      <c r="K59" s="15" t="s">
        <v>359</v>
      </c>
    </row>
    <row r="60" ht="73.5" customHeight="1">
      <c r="A60" s="15" t="s">
        <v>360</v>
      </c>
      <c r="B60" s="15" t="s">
        <v>355</v>
      </c>
      <c r="C60" s="15">
        <v>2.0</v>
      </c>
      <c r="D60" s="15" t="s">
        <v>362</v>
      </c>
      <c r="E60" s="15" t="s">
        <v>363</v>
      </c>
      <c r="F60" s="16">
        <v>2.0</v>
      </c>
      <c r="G60" s="17"/>
      <c r="H60" s="15" t="s">
        <v>74</v>
      </c>
      <c r="I60" s="15" t="s">
        <v>75</v>
      </c>
      <c r="J60" s="18" t="s">
        <v>366</v>
      </c>
      <c r="K60" s="15" t="s">
        <v>157</v>
      </c>
    </row>
    <row r="61" ht="73.5" customHeight="1">
      <c r="A61" s="15" t="s">
        <v>367</v>
      </c>
      <c r="B61" s="15" t="s">
        <v>355</v>
      </c>
      <c r="C61" s="15">
        <v>3.0</v>
      </c>
      <c r="D61" s="15" t="s">
        <v>320</v>
      </c>
      <c r="E61" s="15" t="s">
        <v>363</v>
      </c>
      <c r="F61" s="16">
        <v>2.0</v>
      </c>
      <c r="G61" s="17"/>
      <c r="H61" s="15" t="s">
        <v>74</v>
      </c>
      <c r="I61" s="15" t="s">
        <v>75</v>
      </c>
      <c r="J61" s="18" t="s">
        <v>368</v>
      </c>
      <c r="K61" s="15" t="s">
        <v>173</v>
      </c>
    </row>
    <row r="62" ht="73.5" customHeight="1">
      <c r="A62" s="15" t="s">
        <v>369</v>
      </c>
      <c r="B62" s="15" t="s">
        <v>370</v>
      </c>
      <c r="C62" s="15">
        <v>1.0</v>
      </c>
      <c r="D62" s="15" t="s">
        <v>186</v>
      </c>
      <c r="E62" s="15" t="s">
        <v>371</v>
      </c>
      <c r="F62" s="16">
        <v>1.0</v>
      </c>
      <c r="G62" s="17">
        <v>1.9</v>
      </c>
      <c r="H62" s="15" t="s">
        <v>63</v>
      </c>
      <c r="I62" s="15" t="s">
        <v>64</v>
      </c>
      <c r="J62" s="18" t="s">
        <v>372</v>
      </c>
      <c r="K62" s="15" t="s">
        <v>373</v>
      </c>
    </row>
    <row r="63" ht="73.5" customHeight="1">
      <c r="A63" s="15" t="s">
        <v>375</v>
      </c>
      <c r="B63" s="15" t="s">
        <v>370</v>
      </c>
      <c r="C63" s="15">
        <v>2.0</v>
      </c>
      <c r="D63" s="15" t="s">
        <v>239</v>
      </c>
      <c r="E63" s="15" t="s">
        <v>378</v>
      </c>
      <c r="F63" s="16">
        <v>1.0</v>
      </c>
      <c r="G63" s="17"/>
      <c r="H63" s="15" t="s">
        <v>74</v>
      </c>
      <c r="I63" s="15" t="s">
        <v>75</v>
      </c>
      <c r="J63" s="18" t="s">
        <v>379</v>
      </c>
      <c r="K63" s="15" t="s">
        <v>173</v>
      </c>
    </row>
    <row r="64" ht="73.5" customHeight="1">
      <c r="A64" s="15" t="s">
        <v>380</v>
      </c>
      <c r="B64" s="15" t="s">
        <v>370</v>
      </c>
      <c r="C64" s="15">
        <v>3.0</v>
      </c>
      <c r="D64" s="15" t="s">
        <v>226</v>
      </c>
      <c r="E64" s="15" t="s">
        <v>371</v>
      </c>
      <c r="F64" s="16">
        <v>1.0</v>
      </c>
      <c r="G64" s="17"/>
      <c r="H64" s="15" t="s">
        <v>74</v>
      </c>
      <c r="I64" s="15" t="s">
        <v>75</v>
      </c>
      <c r="J64" s="18" t="s">
        <v>383</v>
      </c>
      <c r="K64" s="15" t="s">
        <v>173</v>
      </c>
    </row>
    <row r="65" ht="73.5" customHeight="1">
      <c r="A65" s="15" t="s">
        <v>385</v>
      </c>
      <c r="B65" s="15" t="s">
        <v>386</v>
      </c>
      <c r="C65" s="15">
        <v>1.0</v>
      </c>
      <c r="D65" s="15" t="s">
        <v>387</v>
      </c>
      <c r="E65" s="15" t="s">
        <v>388</v>
      </c>
      <c r="F65" s="16">
        <v>1.0</v>
      </c>
      <c r="G65" s="17">
        <v>0.43</v>
      </c>
      <c r="H65" s="15" t="s">
        <v>63</v>
      </c>
      <c r="I65" s="15" t="s">
        <v>64</v>
      </c>
      <c r="J65" s="18" t="s">
        <v>389</v>
      </c>
      <c r="K65" s="15" t="s">
        <v>390</v>
      </c>
    </row>
    <row r="66" ht="73.5" customHeight="1">
      <c r="A66" s="15" t="s">
        <v>391</v>
      </c>
      <c r="B66" s="15" t="s">
        <v>386</v>
      </c>
      <c r="C66" s="15">
        <v>2.0</v>
      </c>
      <c r="D66" s="15" t="s">
        <v>73</v>
      </c>
      <c r="E66" s="15" t="s">
        <v>392</v>
      </c>
      <c r="F66" s="16">
        <v>1.0</v>
      </c>
      <c r="G66" s="17"/>
      <c r="H66" s="15" t="s">
        <v>74</v>
      </c>
      <c r="I66" s="15" t="s">
        <v>75</v>
      </c>
      <c r="J66" s="18" t="s">
        <v>394</v>
      </c>
      <c r="K66" s="15" t="s">
        <v>396</v>
      </c>
    </row>
    <row r="67" ht="73.5" customHeight="1">
      <c r="A67" s="15" t="s">
        <v>397</v>
      </c>
      <c r="B67" s="15" t="s">
        <v>386</v>
      </c>
      <c r="C67" s="15">
        <v>3.0</v>
      </c>
      <c r="D67" s="15" t="s">
        <v>398</v>
      </c>
      <c r="E67" s="15" t="s">
        <v>399</v>
      </c>
      <c r="F67" s="16">
        <v>1.0</v>
      </c>
      <c r="G67" s="17"/>
      <c r="H67" s="15" t="s">
        <v>74</v>
      </c>
      <c r="I67" s="15" t="s">
        <v>75</v>
      </c>
      <c r="J67" s="18" t="s">
        <v>400</v>
      </c>
      <c r="K67" s="15" t="s">
        <v>173</v>
      </c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9BB7FE8-87B4-49C6-A742-9CA5B35CFC15}" filter="1" showAutoFilter="1">
      <autoFilter ref="$A$7:$K$67"/>
    </customSheetView>
  </customSheetViews>
  <mergeCells count="4">
    <mergeCell ref="A2:K2"/>
    <mergeCell ref="A3:K3"/>
    <mergeCell ref="A4:K4"/>
    <mergeCell ref="A5:K5"/>
  </mergeCells>
  <conditionalFormatting sqref="I8:I67">
    <cfRule type="containsText" dxfId="4" priority="1" operator="containsText" text="Indisponível">
      <formula>NOT(ISERROR(SEARCH(("Indisponível"),(I8))))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324F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6.13"/>
    <col customWidth="1" min="2" max="4" width="41.13"/>
    <col customWidth="1" min="5" max="26" width="8.63"/>
  </cols>
  <sheetData>
    <row r="1">
      <c r="A1" s="1"/>
      <c r="B1" s="1"/>
      <c r="C1" s="1"/>
      <c r="D1" s="1"/>
    </row>
    <row r="2" ht="30.0" customHeight="1">
      <c r="A2" s="2" t="s">
        <v>0</v>
      </c>
    </row>
    <row r="3" ht="22.5" customHeight="1">
      <c r="A3" s="3" t="s">
        <v>1</v>
      </c>
    </row>
    <row r="4" ht="24.0" customHeight="1">
      <c r="A4" s="1" t="s">
        <v>2</v>
      </c>
    </row>
    <row r="5" ht="25.5" customHeight="1">
      <c r="A5" s="4" t="s">
        <v>3</v>
      </c>
      <c r="B5" s="5" t="s">
        <v>4</v>
      </c>
      <c r="C5" s="6"/>
      <c r="D5" s="7"/>
    </row>
    <row r="6" ht="84.0" customHeight="1">
      <c r="A6" s="8" t="s">
        <v>5</v>
      </c>
      <c r="B6" s="9" t="s">
        <v>6</v>
      </c>
      <c r="C6" s="10"/>
      <c r="D6" s="10"/>
    </row>
    <row r="7" ht="84.0" customHeight="1">
      <c r="A7" s="11" t="s">
        <v>7</v>
      </c>
      <c r="B7" s="12" t="s">
        <v>8</v>
      </c>
      <c r="C7" s="10"/>
      <c r="D7" s="13"/>
    </row>
    <row r="8" ht="84.0" customHeight="1">
      <c r="A8" s="8" t="s">
        <v>9</v>
      </c>
      <c r="B8" s="9" t="s">
        <v>10</v>
      </c>
      <c r="C8" s="10"/>
      <c r="D8" s="10"/>
    </row>
    <row r="9" ht="84.0" customHeight="1">
      <c r="A9" s="11" t="s">
        <v>11</v>
      </c>
      <c r="B9" s="12" t="s">
        <v>12</v>
      </c>
      <c r="C9" s="10"/>
      <c r="D9" s="13"/>
    </row>
    <row r="10" ht="84.0" customHeight="1">
      <c r="A10" s="8" t="s">
        <v>13</v>
      </c>
      <c r="B10" s="9" t="s">
        <v>14</v>
      </c>
      <c r="C10" s="10"/>
      <c r="D10" s="10"/>
    </row>
    <row r="11" ht="84.0" customHeight="1">
      <c r="A11" s="11" t="s">
        <v>15</v>
      </c>
      <c r="B11" s="12" t="s">
        <v>16</v>
      </c>
      <c r="C11" s="10"/>
      <c r="D11" s="13"/>
    </row>
    <row r="12" ht="84.0" customHeight="1">
      <c r="A12" s="8" t="s">
        <v>17</v>
      </c>
      <c r="B12" s="9" t="s">
        <v>18</v>
      </c>
      <c r="C12" s="10"/>
      <c r="D12" s="10"/>
    </row>
    <row r="13" ht="84.0" customHeight="1">
      <c r="A13" s="11" t="s">
        <v>19</v>
      </c>
      <c r="B13" s="12" t="s">
        <v>20</v>
      </c>
      <c r="C13" s="10"/>
      <c r="D13" s="13"/>
    </row>
    <row r="14" ht="84.0" customHeight="1">
      <c r="A14" s="8" t="s">
        <v>21</v>
      </c>
      <c r="B14" s="9" t="s">
        <v>22</v>
      </c>
      <c r="C14" s="10"/>
      <c r="D14" s="10"/>
    </row>
    <row r="15" ht="84.0" customHeight="1">
      <c r="A15" s="11" t="s">
        <v>23</v>
      </c>
      <c r="B15" s="12" t="s">
        <v>24</v>
      </c>
      <c r="C15" s="10"/>
      <c r="D15" s="13"/>
    </row>
    <row r="16" ht="84.0" customHeight="1">
      <c r="A16" s="8" t="s">
        <v>25</v>
      </c>
      <c r="B16" s="9" t="s">
        <v>26</v>
      </c>
      <c r="C16" s="10"/>
      <c r="D16" s="10"/>
    </row>
    <row r="17" ht="84.0" customHeight="1">
      <c r="A17" s="11" t="s">
        <v>27</v>
      </c>
      <c r="B17" s="12" t="s">
        <v>28</v>
      </c>
      <c r="C17" s="10"/>
      <c r="D17" s="13"/>
    </row>
    <row r="18" ht="84.0" customHeight="1">
      <c r="A18" s="8" t="s">
        <v>29</v>
      </c>
      <c r="B18" s="9" t="s">
        <v>30</v>
      </c>
      <c r="C18" s="10"/>
      <c r="D18" s="10"/>
    </row>
    <row r="19" ht="84.0" customHeight="1">
      <c r="A19" s="11" t="s">
        <v>31</v>
      </c>
      <c r="B19" s="12" t="s">
        <v>32</v>
      </c>
      <c r="C19" s="10"/>
      <c r="D19" s="13"/>
    </row>
    <row r="20" ht="84.0" customHeight="1">
      <c r="A20" s="8" t="s">
        <v>33</v>
      </c>
      <c r="B20" s="9" t="s">
        <v>34</v>
      </c>
      <c r="C20" s="10"/>
      <c r="D20" s="10"/>
    </row>
    <row r="21" ht="84.0" customHeight="1">
      <c r="A21" s="11" t="s">
        <v>35</v>
      </c>
      <c r="B21" s="12" t="s">
        <v>36</v>
      </c>
      <c r="C21" s="10"/>
      <c r="D21" s="13"/>
    </row>
    <row r="22" ht="70.5" customHeight="1">
      <c r="A22" s="8" t="s">
        <v>37</v>
      </c>
      <c r="B22" s="9" t="s">
        <v>38</v>
      </c>
      <c r="C22" s="10"/>
      <c r="D22" s="10"/>
    </row>
    <row r="23" ht="70.5" customHeight="1">
      <c r="A23" s="11" t="s">
        <v>39</v>
      </c>
      <c r="B23" s="12" t="s">
        <v>40</v>
      </c>
      <c r="C23" s="10"/>
      <c r="D23" s="13"/>
    </row>
    <row r="24" ht="70.5" customHeight="1">
      <c r="A24" s="8" t="s">
        <v>41</v>
      </c>
      <c r="B24" s="9" t="s">
        <v>42</v>
      </c>
      <c r="C24" s="10"/>
      <c r="D24" s="10"/>
    </row>
    <row r="25" ht="70.5" customHeight="1">
      <c r="A25" s="11" t="s">
        <v>43</v>
      </c>
      <c r="B25" s="12"/>
      <c r="C25" s="10"/>
      <c r="D25" s="13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2:D2"/>
    <mergeCell ref="A3:D3"/>
    <mergeCell ref="A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23:D23"/>
    <mergeCell ref="B24:D24"/>
    <mergeCell ref="B25:D25"/>
    <mergeCell ref="B16:D16"/>
    <mergeCell ref="B17:D17"/>
    <mergeCell ref="B18:D18"/>
    <mergeCell ref="B19:D19"/>
    <mergeCell ref="B20:D20"/>
    <mergeCell ref="B21:D21"/>
    <mergeCell ref="B22:D22"/>
  </mergeCells>
  <printOptions/>
  <pageMargins bottom="0.75" footer="0.0" header="0.0" left="0.7" right="0.7" top="0.75"/>
  <pageSetup orientation="landscape"/>
  <drawing r:id="rId1"/>
</worksheet>
</file>