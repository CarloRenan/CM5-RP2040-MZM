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4a755d68f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ras" sheetId="1" r:id="R6b918d9c1269461c"/>
    <x:sheet xmlns:r="http://schemas.openxmlformats.org/officeDocument/2006/relationships" name="Cotações" sheetId="2" r:id="R775542a9bab7473b"/>
    <x:sheet xmlns:r="http://schemas.openxmlformats.org/officeDocument/2006/relationships" name="Uso e critérios" sheetId="3" r:id="Rc94e4c84283442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$&quot; #,##0.00;[Red](&quot;R$&quot; #,##0.00);&quot;—&quot;"/>
  </x:numFmts>
  <x:fonts count="16">
    <x:font>
      <x:sz val="11"/>
      <x:name val="Carlito"/>
    </x:font>
    <x:font>
      <x:sz val="10"/>
      <x:color rgb="FF202F3F"/>
      <x:name val="Arial"/>
    </x:font>
    <x:font>
      <x:b/>
      <x:sz val="19"/>
      <x:color rgb="FF202F3F"/>
      <x:name val="Arial"/>
    </x:font>
    <x:font>
      <x:sz val="11"/>
      <x:color rgb="FF586879"/>
      <x:name val="Arial"/>
    </x:font>
    <x:font>
      <x:sz val="10"/>
      <x:color rgb="FF202F3F"/>
      <x:name val="Arial"/>
    </x:font>
    <x:font>
      <x:b/>
      <x:sz val="10"/>
      <x:color rgb="FF202F3F"/>
      <x:name val="Arial"/>
    </x:font>
    <x:font>
      <x:b/>
      <x:sz val="11"/>
      <x:color rgb="FF202F3F"/>
      <x:name val="Arial"/>
    </x:font>
    <x:font>
      <x:b/>
      <x:sz val="15"/>
      <x:color rgb="FF16324F"/>
      <x:name val="Arial"/>
    </x:font>
    <x:font>
      <x:sz val="10"/>
      <x:color rgb="FF586879"/>
      <x:name val="Arial"/>
    </x:font>
    <x:font>
      <x:b/>
      <x:sz val="10"/>
      <x:color rgb="FFFFFFFF"/>
      <x:name val="Arial"/>
    </x:font>
    <x:font>
      <x:sz val="10"/>
      <x:color rgb="FF1764A0"/>
      <x:name val="Arial"/>
    </x:font>
    <x:font>
      <x:sz val="9"/>
      <x:color rgb="FF1764A0"/>
      <x:name val="Arial"/>
    </x:font>
    <x:font>
      <x:sz val="11"/>
      <x:color rgb="FF1764A0"/>
      <x:name val="Arial"/>
    </x:font>
    <x:font>
      <x:u val="single"/>
      <x:sz val="10"/>
      <x:color rgb="FF1764A0"/>
      <x:name val="Arial"/>
    </x:font>
    <x:font>
      <x:b/>
      <x:sz val="11"/>
      <x:color rgb="FF16324F"/>
      <x:name val="Arial"/>
    </x:font>
    <x:font>
      <x:sz val="11"/>
      <x:color rgb="FF202F3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CF5FF"/>
      </x:patternFill>
    </x:fill>
    <x:fill>
      <x:patternFill patternType="solid">
        <x:fgColor rgb="FFF5F7FA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DAE2E8"/>
      </x:bottom>
      <x:diagonal/>
    </x:border>
    <x:border>
      <x:left/>
      <x:right/>
      <x:top style="thin">
        <x:color rgb="FFDAE2E8"/>
      </x:top>
      <x:bottom style="thin">
        <x:color rgb="FFDAE2E8"/>
      </x:bottom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horizontal="left"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200" fontId="10" fillId="0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vertical="center" wrapText="1"/>
    </x:xf>
    <x:xf numFmtId="200" fontId="10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9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0" fillId="3" borderId="2" xfId="0" applyNumberFormat="1" applyFont="1" applyFill="1" applyBorder="1" applyAlignment="1">
      <x:alignment vertical="center" wrapText="1"/>
    </x:xf>
    <x:xf numFmtId="200" fontId="10" fillId="3" borderId="2" xfId="0" applyNumberFormat="1" applyFont="1" applyFill="1" applyBorder="1" applyAlignment="1">
      <x:alignment vertical="center" wrapText="1"/>
    </x:xf>
    <x:xf numFmtId="0" fontId="11" fillId="0" borderId="2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2" fillId="3" borderId="2" xfId="0" applyNumberFormat="1" applyFont="1" applyFill="1" applyBorder="1" applyAlignment="1">
      <x:alignment vertical="center" wrapText="1"/>
    </x:xf>
    <x:xf numFmtId="0" fontId="12" fillId="3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200" fontId="1" fillId="0" borderId="2" xfId="0" applyNumberFormat="1" applyFont="1" applyFill="1" applyBorder="1" applyAlignment="1">
      <x:alignment horizontal="center" vertical="center" wrapText="1"/>
    </x:xf>
    <x:xf numFmtId="200" fontId="1" fillId="4" borderId="2" xfId="0" applyNumberFormat="1" applyFont="1" applyFill="1" applyBorder="1" applyAlignment="1">
      <x:alignment horizontal="center" vertical="center" wrapText="1"/>
    </x:xf>
    <x:xf numFmtId="200" fontId="1" fillId="0" borderId="2" xfId="0" applyNumberFormat="1" applyFont="1" applyFill="1" applyBorder="1" applyAlignment="1">
      <x:alignment horizontal="right" vertical="center" wrapText="1"/>
    </x:xf>
    <x:xf numFmtId="200" fontId="1" fillId="4" borderId="2" xfId="0" applyNumberFormat="1" applyFont="1" applyFill="1" applyBorder="1" applyAlignment="1">
      <x:alignment horizontal="right" vertical="center" wrapText="1"/>
    </x:xf>
    <x:xf numFmtId="0" fontId="13" fillId="0" borderId="2" xfId="0" applyNumberFormat="1" applyFont="1" applyFill="1" applyBorder="1" applyAlignment="1">
      <x:alignment vertical="center" wrapText="1"/>
    </x:xf>
    <x:xf numFmtId="0" fontId="13" fillId="4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vertical="center" wrapText="1"/>
    </x:xf>
    <x:xf numFmtId="0" fontId="14" fillId="4" borderId="0" xfId="0" applyNumberFormat="1" applyFont="1" applyFill="1" applyBorder="1" applyAlignment="1">
      <x:alignment vertical="center" wrapText="1"/>
    </x:xf>
    <x:xf numFmtId="0" fontId="15" fillId="4" borderId="0" xfId="0" applyNumberFormat="1" applyFont="1" applyFill="1" applyBorder="1" applyAlignment="1">
      <x:alignment vertical="center" wrapText="1"/>
    </x:xf>
    <x:xf numFmtId="0" fontId="14" fillId="0" borderId="2" xfId="0" applyNumberFormat="1" applyFont="1" applyFill="1" applyBorder="1" applyAlignment="1">
      <x:alignment vertical="center" wrapText="1"/>
    </x:xf>
    <x:xf numFmtId="0" fontId="15" fillId="0" borderId="2" xfId="0" applyNumberFormat="1" applyFont="1" applyFill="1" applyBorder="1" applyAlignment="1">
      <x:alignment vertical="center" wrapText="1"/>
    </x:xf>
    <x:xf numFmtId="0" fontId="14" fillId="4" borderId="2" xfId="0" applyNumberFormat="1" applyFont="1" applyFill="1" applyBorder="1" applyAlignment="1">
      <x:alignment vertical="center" wrapText="1"/>
    </x:xf>
    <x:xf numFmtId="0" fontId="15" fillId="4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8A4F00"/>
      </x:font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e4dca36e54c71" /><Relationship Type="http://schemas.openxmlformats.org/officeDocument/2006/relationships/theme" Target="/xl/theme/theme1.xml" Id="R20bba38a6b004b2d" /><Relationship Type="http://schemas.openxmlformats.org/officeDocument/2006/relationships/sharedStrings" Target="/xl/sharedStrings.xml" Id="R0c7764ada86747df" /><Relationship Type="http://schemas.openxmlformats.org/officeDocument/2006/relationships/worksheet" Target="/xl/worksheets/sheet1.xml" Id="R6b918d9c1269461c" /><Relationship Type="http://schemas.openxmlformats.org/officeDocument/2006/relationships/worksheet" Target="/xl/worksheets/sheet2.xml" Id="R775542a9bab7473b" /><Relationship Type="http://schemas.openxmlformats.org/officeDocument/2006/relationships/worksheet" Target="/xl/worksheets/sheet3.xml" Id="Rc94e4c8428344245" /></Relationships>
</file>

<file path=xl/tables/table1.xml><?xml version="1.0" encoding="utf-8"?>
<x:table xmlns:x="http://schemas.openxmlformats.org/spreadsheetml/2006/main" id="2" name="ListaCompras" displayName="ListaCompras" ref="A9:M29" headerRowCount="1" totalsRowCount="0" totalsRowShown="0">
  <x:autoFilter ref="A9:M29"/>
  <x:tableColumns count="13">
    <x:tableColumn id="1" name="ID"/>
    <x:tableColumn id="2" name="Produto / especificação"/>
    <x:tableColumn id="3" name="Qtd. a comprar"/>
    <x:tableColumn id="4" name="Unidade"/>
    <x:tableColumn id="5" name="Opção&#10;1, 2 ou 3"/>
    <x:tableColumn id="6" name="Qtd. por lote"/>
    <x:tableColumn id="7" name="Lotes"/>
    <x:tableColumn id="8" name="Preço / lote"/>
    <x:tableColumn id="9" name="Subtotal cotado"/>
    <x:tableColumn id="10" name="Link 1"/>
    <x:tableColumn id="11" name="Link 2"/>
    <x:tableColumn id="12" name="Link 3"/>
    <x:tableColumn id="13" name="Para que serve / critério de escolha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" name="Ofertas" displayName="Ofertas" ref="A7:K67" headerRowCount="1" totalsRowCount="0" totalsRowShown="0">
  <x:autoFilter ref="A7:K67"/>
  <x:tableColumns count="11">
    <x:tableColumn id="1" name="Chave"/>
    <x:tableColumn id="2" name="ID"/>
    <x:tableColumn id="3" name="Opção"/>
    <x:tableColumn id="4" name="Fornecedor / canal"/>
    <x:tableColumn id="5" name="Produto e embalagem"/>
    <x:tableColumn id="6" name="Unidades / lote"/>
    <x:tableColumn id="7" name="Preço / lote (R$)"/>
    <x:tableColumn id="8" name="Condição do preço"/>
    <x:tableColumn id="9" name="Disponibilidade observada"/>
    <x:tableColumn id="10" name="URL de origem"/>
    <x:tableColumn id="11" name="Observação da oferta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676e882d2a42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b644129733401d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4.889999866485596" hidden="0" customWidth="1"/>
    <x:col min="2" max="2" width="28.329999923706055" hidden="0" customWidth="1"/>
    <x:col min="3" max="3" width="6.670000076293945" hidden="0" customWidth="1"/>
    <x:col min="4" max="4" width="8" hidden="0" customWidth="1"/>
    <x:col min="5" max="5" width="7.21999979019165" hidden="0" customWidth="1"/>
    <x:col min="6" max="6" width="7.21999979019165" hidden="0" customWidth="1"/>
    <x:col min="7" max="7" width="6.670000076293945" hidden="0" customWidth="1"/>
    <x:col min="8" max="8" width="10.4399995803833" hidden="0" customWidth="1"/>
    <x:col min="9" max="9" width="11.5600004196167" hidden="0" customWidth="1"/>
    <x:col min="10" max="10" width="14.670000076293945" hidden="0" customWidth="1"/>
    <x:col min="11" max="11" width="14.670000076293945" hidden="0" customWidth="1"/>
    <x:col min="12" max="12" width="14.670000076293945" hidden="0" customWidth="1"/>
    <x:col min="13" max="13" width="36.88999938964844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.5" customHeight="1">
      <x:c r="A2" s="4" t="str">
        <x:v>Lista de compras | Protótipo CM5 / RP2040</x:v>
      </x:c>
      <x:c r="B2" s="4" t="str">
        <x:v>Lista de compras | Protótipo CM5 / RP2040</x:v>
      </x:c>
      <x:c r="C2" s="4" t="str">
        <x:v>Lista de compras | Protótipo CM5 / RP2040</x:v>
      </x:c>
      <x:c r="D2" s="4" t="str">
        <x:v>Lista de compras | Protótipo CM5 / RP2040</x:v>
      </x:c>
      <x:c r="E2" s="4" t="str">
        <x:v>Lista de compras | Protótipo CM5 / RP2040</x:v>
      </x:c>
      <x:c r="F2" s="4" t="str">
        <x:v>Lista de compras | Protótipo CM5 / RP2040</x:v>
      </x:c>
      <x:c r="G2" s="4" t="str">
        <x:v>Lista de compras | Protótipo CM5 / RP2040</x:v>
      </x:c>
      <x:c r="H2" s="4" t="str">
        <x:v>Lista de compras | Protótipo CM5 / RP2040</x:v>
      </x:c>
      <x:c r="I2" s="4" t="str">
        <x:v>Lista de compras | Protótipo CM5 / RP2040</x:v>
      </x:c>
      <x:c r="J2" s="4" t="str">
        <x:v>Lista de compras | Protótipo CM5 / RP2040</x:v>
      </x:c>
      <x:c r="K2" s="4" t="str">
        <x:v>Lista de compras | Protótipo CM5 / RP2040</x:v>
      </x:c>
      <x:c r="L2" s="4" t="str">
        <x:v>Lista de compras | Protótipo CM5 / RP2040</x:v>
      </x:c>
      <x:c r="M2" s="4" t="str">
        <x:v>Lista de compras | Protótipo CM5 / RP2040</x:v>
      </x:c>
    </x:row>
    <x:row r="3" ht="21" customHeight="1">
      <x:c r="A3" s="5" t="str">
        <x:v>Bancada térmica e carga elétrica de três diodos • 20 produtos • 60 links • Consulta: 22/10/2026</x:v>
      </x:c>
      <x:c r="B3" s="5" t="str">
        <x:v>Bancada térmica e carga elétrica de três diodos • 20 produtos • 60 links • Consulta: 22/10/2026</x:v>
      </x:c>
      <x:c r="C3" s="5" t="str">
        <x:v>Bancada térmica e carga elétrica de três diodos • 20 produtos • 60 links • Consulta: 22/10/2026</x:v>
      </x:c>
      <x:c r="D3" s="5" t="str">
        <x:v>Bancada térmica e carga elétrica de três diodos • 20 produtos • 60 links • Consulta: 22/10/2026</x:v>
      </x:c>
      <x:c r="E3" s="5" t="str">
        <x:v>Bancada térmica e carga elétrica de três diodos • 20 produtos • 60 links • Consulta: 22/10/2026</x:v>
      </x:c>
      <x:c r="F3" s="5" t="str">
        <x:v>Bancada térmica e carga elétrica de três diodos • 20 produtos • 60 links • Consulta: 22/10/2026</x:v>
      </x:c>
      <x:c r="G3" s="5" t="str">
        <x:v>Bancada térmica e carga elétrica de três diodos • 20 produtos • 60 links • Consulta: 22/10/2026</x:v>
      </x:c>
      <x:c r="H3" s="5" t="str">
        <x:v>Bancada térmica e carga elétrica de três diodos • 20 produtos • 60 links • Consulta: 22/10/2026</x:v>
      </x:c>
      <x:c r="I3" s="5" t="str">
        <x:v>Bancada térmica e carga elétrica de três diodos • 20 produtos • 60 links • Consulta: 22/10/2026</x:v>
      </x:c>
      <x:c r="J3" s="5" t="str">
        <x:v>Bancada térmica e carga elétrica de três diodos • 20 produtos • 60 links • Consulta: 22/10/2026</x:v>
      </x:c>
      <x:c r="K3" s="5" t="str">
        <x:v>Bancada térmica e carga elétrica de três diodos • 20 produtos • 60 links • Consulta: 22/10/2026</x:v>
      </x:c>
      <x:c r="L3" s="5" t="str">
        <x:v>Bancada térmica e carga elétrica de três diodos • 20 produtos • 60 links • Consulta: 22/10/2026</x:v>
      </x:c>
      <x:c r="M3" s="5" t="str">
        <x:v>Bancada térmica e carga elétrica de três diodos • 20 produtos • 60 links • Consulta: 22/10/2026</x:v>
      </x:c>
    </x:row>
    <x:row r="4" ht="30" customHeight="1">
      <x:c r="A4" s="6" t="str">
        <x:v>Quantidades propostas para uma bancada. Altere a quantidade para descontar itens já disponíveis no laboratório. A fonte de bancada está incluída; a ponte H é opcional, com quantidade zero.</x:v>
      </x:c>
      <x:c r="B4" s="6" t="str">
        <x:v>Quantidades propostas para uma bancada. Altere a quantidade para descontar itens já disponíveis no laboratório. A fonte de bancada está incluída; a ponte H é opcional, com quantidade zero.</x:v>
      </x:c>
      <x:c r="C4" s="6" t="str">
        <x:v>Quantidades propostas para uma bancada. Altere a quantidade para descontar itens já disponíveis no laboratório. A fonte de bancada está incluída; a ponte H é opcional, com quantidade zero.</x:v>
      </x:c>
      <x:c r="D4" s="6" t="str">
        <x:v>Quantidades propostas para uma bancada. Altere a quantidade para descontar itens já disponíveis no laboratório. A fonte de bancada está incluída; a ponte H é opcional, com quantidade zero.</x:v>
      </x:c>
      <x:c r="E4" s="6" t="str">
        <x:v>Quantidades propostas para uma bancada. Altere a quantidade para descontar itens já disponíveis no laboratório. A fonte de bancada está incluída; a ponte H é opcional, com quantidade zero.</x:v>
      </x:c>
      <x:c r="F4" s="6" t="str">
        <x:v>Quantidades propostas para uma bancada. Altere a quantidade para descontar itens já disponíveis no laboratório. A fonte de bancada está incluída; a ponte H é opcional, com quantidade zero.</x:v>
      </x:c>
      <x:c r="G4" s="6" t="str">
        <x:v>Quantidades propostas para uma bancada. Altere a quantidade para descontar itens já disponíveis no laboratório. A fonte de bancada está incluída; a ponte H é opcional, com quantidade zero.</x:v>
      </x:c>
      <x:c r="H4" s="6" t="str">
        <x:v>Quantidades propostas para uma bancada. Altere a quantidade para descontar itens já disponíveis no laboratório. A fonte de bancada está incluída; a ponte H é opcional, com quantidade zero.</x:v>
      </x:c>
      <x:c r="I4" s="6" t="str">
        <x:v>Quantidades propostas para uma bancada. Altere a quantidade para descontar itens já disponíveis no laboratório. A fonte de bancada está incluída; a ponte H é opcional, com quantidade zero.</x:v>
      </x:c>
      <x:c r="J4" s="6" t="str">
        <x:v>Quantidades propostas para uma bancada. Altere a quantidade para descontar itens já disponíveis no laboratório. A fonte de bancada está incluída; a ponte H é opcional, com quantidade zero.</x:v>
      </x:c>
      <x:c r="K4" s="6" t="str">
        <x:v>Quantidades propostas para uma bancada. Altere a quantidade para descontar itens já disponíveis no laboratório. A fonte de bancada está incluída; a ponte H é opcional, com quantidade zero.</x:v>
      </x:c>
      <x:c r="L4" s="6" t="str">
        <x:v>Quantidades propostas para uma bancada. Altere a quantidade para descontar itens já disponíveis no laboratório. A fonte de bancada está incluída; a ponte H é opcional, com quantidade zero.</x:v>
      </x:c>
      <x:c r="M4" s="6" t="str">
        <x:v>Quantidades propostas para uma bancada. Altere a quantidade para descontar itens já disponíveis no laboratório. A fonte de bancada está incluída; a ponte H é opcional, com quantidade zero.</x:v>
      </x:c>
    </x:row>
    <x:row r="5" ht="30" customHeight="1">
      <x:c r="A5" s="7" t="str">
        <x:v>O conjunto TEC é uma opção de ensaio. A equivalência com o laser depende do modelo e das especificações térmicas. A placa R6 de controle do MZM mantém seu projeto de alimentação de 15 V.</x:v>
      </x:c>
      <x:c r="B5" s="7" t="str">
        <x:v>O conjunto TEC é uma opção de ensaio. A equivalência com o laser depende do modelo e das especificações térmicas. A placa R6 de controle do MZM mantém seu projeto de alimentação de 15 V.</x:v>
      </x:c>
      <x:c r="C5" s="7" t="str">
        <x:v>O conjunto TEC é uma opção de ensaio. A equivalência com o laser depende do modelo e das especificações térmicas. A placa R6 de controle do MZM mantém seu projeto de alimentação de 15 V.</x:v>
      </x:c>
      <x:c r="D5" s="7" t="str">
        <x:v>O conjunto TEC é uma opção de ensaio. A equivalência com o laser depende do modelo e das especificações térmicas. A placa R6 de controle do MZM mantém seu projeto de alimentação de 15 V.</x:v>
      </x:c>
      <x:c r="E5" s="7" t="str">
        <x:v>O conjunto TEC é uma opção de ensaio. A equivalência com o laser depende do modelo e das especificações térmicas. A placa R6 de controle do MZM mantém seu projeto de alimentação de 15 V.</x:v>
      </x:c>
      <x:c r="F5" s="7" t="str">
        <x:v>O conjunto TEC é uma opção de ensaio. A equivalência com o laser depende do modelo e das especificações térmicas. A placa R6 de controle do MZM mantém seu projeto de alimentação de 15 V.</x:v>
      </x:c>
      <x:c r="G5" s="7" t="str">
        <x:v>O conjunto TEC é uma opção de ensaio. A equivalência com o laser depende do modelo e das especificações térmicas. A placa R6 de controle do MZM mantém seu projeto de alimentação de 15 V.</x:v>
      </x:c>
      <x:c r="H5" s="7" t="str">
        <x:v>O conjunto TEC é uma opção de ensaio. A equivalência com o laser depende do modelo e das especificações térmicas. A placa R6 de controle do MZM mantém seu projeto de alimentação de 15 V.</x:v>
      </x:c>
      <x:c r="I5" s="7" t="str">
        <x:v>O conjunto TEC é uma opção de ensaio. A equivalência com o laser depende do modelo e das especificações térmicas. A placa R6 de controle do MZM mantém seu projeto de alimentação de 15 V.</x:v>
      </x:c>
      <x:c r="J5" s="7" t="str">
        <x:v>O conjunto TEC é uma opção de ensaio. A equivalência com o laser depende do modelo e das especificações térmicas. A placa R6 de controle do MZM mantém seu projeto de alimentação de 15 V.</x:v>
      </x:c>
      <x:c r="K5" s="7" t="str">
        <x:v>O conjunto TEC é uma opção de ensaio. A equivalência com o laser depende do modelo e das especificações térmicas. A placa R6 de controle do MZM mantém seu projeto de alimentação de 15 V.</x:v>
      </x:c>
      <x:c r="L5" s="7" t="str">
        <x:v>O conjunto TEC é uma opção de ensaio. A equivalência com o laser depende do modelo e das especificações térmicas. A placa R6 de controle do MZM mantém seu projeto de alimentação de 15 V.</x:v>
      </x:c>
      <x:c r="M5" s="7" t="str">
        <x:v>O conjunto TEC é uma opção de ensaio. A equivalência com o laser depende do modelo e das especificações térmicas. A placa R6 de controle do MZM mantém seu projeto de alimentação de 15 V.</x:v>
      </x:c>
    </x:row>
    <x:row r="6" ht="28.5" customHeight="1">
      <x:c r="A6" s="8" t="str">
        <x:v>Subtotal dos itens cotados</x:v>
      </x:c>
      <x:c r="B6" s="8" t="str">
        <x:v>Subtotal dos itens cotados</x:v>
      </x:c>
      <x:c r="C6" s="8" t="str">
        <x:v>Subtotal dos itens cotados</x:v>
      </x:c>
      <x:c r="D6" s="11" t="n">
        <x:f>SUM(I10:I29)</x:f>
        <x:v>952.8499999999997</x:v>
      </x:c>
      <x:c r="E6" s="11"/>
      <x:c r="F6" s="11"/>
      <x:c r="G6" s="7" t="str">
        <x:v>Itens com preço pendente</x:v>
      </x:c>
      <x:c r="H6" s="7" t="str">
        <x:v>Itens com preço pendente</x:v>
      </x:c>
      <x:c r="I6" s="7" t="str">
        <x:v>Itens com preço pendente</x:v>
      </x:c>
      <x:c r="J6" s="12" t="n">
        <x:f>COUNTIF(C10:C29,"&gt;0")-COUNTIF(I10:I29,"&gt;0")</x:f>
        <x:v>1</x:v>
      </x:c>
      <x:c r="K6" s="13" t="str">
        <x:v>Sem frete. Não é um orçamento final.</x:v>
      </x:c>
      <x:c r="L6" s="13" t="str">
        <x:v>Sem frete. Não é um orçamento final.</x:v>
      </x:c>
      <x:c r="M6" s="13" t="str">
        <x:v>Sem frete. Não é um orçamento final.</x:v>
      </x:c>
    </x:row>
    <x:row r="7" ht="28.5" customHeight="1">
      <x:c r="A7" s="13" t="str">
        <x:v>Azul: quantidade e opção de compra editáveis. Escolha 1, 2 ou 3 para atualizar embalagem e preço. Campo vazio em Preço significa “consultar”; não significa custo zero. Detalhes das ofertas na aba Cotações.</x:v>
      </x:c>
      <x:c r="B7" s="13" t="str">
        <x:v>Azul: quantidade e opção de compra editáveis. Escolha 1, 2 ou 3 para atualizar embalagem e preço. Campo vazio em Preço significa “consultar”; não significa custo zero. Detalhes das ofertas na aba Cotações.</x:v>
      </x:c>
      <x:c r="C7" s="13" t="str">
        <x:v>Azul: quantidade e opção de compra editáveis. Escolha 1, 2 ou 3 para atualizar embalagem e preço. Campo vazio em Preço significa “consultar”; não significa custo zero. Detalhes das ofertas na aba Cotações.</x:v>
      </x:c>
      <x:c r="D7" s="13" t="str">
        <x:v>Azul: quantidade e opção de compra editáveis. Escolha 1, 2 ou 3 para atualizar embalagem e preço. Campo vazio em Preço significa “consultar”; não significa custo zero. Detalhes das ofertas na aba Cotações.</x:v>
      </x:c>
      <x:c r="E7" s="13" t="str">
        <x:v>Azul: quantidade e opção de compra editáveis. Escolha 1, 2 ou 3 para atualizar embalagem e preço. Campo vazio em Preço significa “consultar”; não significa custo zero. Detalhes das ofertas na aba Cotações.</x:v>
      </x:c>
      <x:c r="F7" s="13" t="str">
        <x:v>Azul: quantidade e opção de compra editáveis. Escolha 1, 2 ou 3 para atualizar embalagem e preço. Campo vazio em Preço significa “consultar”; não significa custo zero. Detalhes das ofertas na aba Cotações.</x:v>
      </x:c>
      <x:c r="G7" s="13" t="str">
        <x:v>Azul: quantidade e opção de compra editáveis. Escolha 1, 2 ou 3 para atualizar embalagem e preço. Campo vazio em Preço significa “consultar”; não significa custo zero. Detalhes das ofertas na aba Cotações.</x:v>
      </x:c>
      <x:c r="H7" s="13" t="str">
        <x:v>Azul: quantidade e opção de compra editáveis. Escolha 1, 2 ou 3 para atualizar embalagem e preço. Campo vazio em Preço significa “consultar”; não significa custo zero. Detalhes das ofertas na aba Cotações.</x:v>
      </x:c>
      <x:c r="I7" s="13" t="str">
        <x:v>Azul: quantidade e opção de compra editáveis. Escolha 1, 2 ou 3 para atualizar embalagem e preço. Campo vazio em Preço significa “consultar”; não significa custo zero. Detalhes das ofertas na aba Cotações.</x:v>
      </x:c>
      <x:c r="J7" s="13" t="str">
        <x:v>Azul: quantidade e opção de compra editáveis. Escolha 1, 2 ou 3 para atualizar embalagem e preço. Campo vazio em Preço significa “consultar”; não significa custo zero. Detalhes das ofertas na aba Cotações.</x:v>
      </x:c>
      <x:c r="K7" s="13" t="str">
        <x:v>Azul: quantidade e opção de compra editáveis. Escolha 1, 2 ou 3 para atualizar embalagem e preço. Campo vazio em Preço significa “consultar”; não significa custo zero. Detalhes das ofertas na aba Cotações.</x:v>
      </x:c>
      <x:c r="L7" s="13" t="str">
        <x:v>Azul: quantidade e opção de compra editáveis. Escolha 1, 2 ou 3 para atualizar embalagem e preço. Campo vazio em Preço significa “consultar”; não significa custo zero. Detalhes das ofertas na aba Cotações.</x:v>
      </x:c>
      <x:c r="M7" s="13" t="str">
        <x:v>Azul: quantidade e opção de compra editáveis. Escolha 1, 2 ou 3 para atualizar embalagem e preço. Campo vazio em Preço significa “consultar”; não significa custo zero. Detalhes das ofertas na aba Cotações.</x:v>
      </x:c>
    </x:row>
    <x:row r="8" ht="9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</x:row>
    <x:row r="9" ht="36" customHeight="1">
      <x:c r="A9" s="21" t="str">
        <x:v>ID</x:v>
      </x:c>
      <x:c r="B9" s="21" t="str">
        <x:v>Produto / especificação</x:v>
      </x:c>
      <x:c r="C9" s="21" t="str">
        <x:v>Qtd. a comprar</x:v>
      </x:c>
      <x:c r="D9" s="21" t="str">
        <x:v>Unidade</x:v>
      </x:c>
      <x:c r="E9" s="21" t="str">
        <x:v>Opção
1, 2 ou 3</x:v>
      </x:c>
      <x:c r="F9" s="21" t="str">
        <x:v>Qtd. por lote</x:v>
      </x:c>
      <x:c r="G9" s="21" t="str">
        <x:v>Lotes</x:v>
      </x:c>
      <x:c r="H9" s="21" t="str">
        <x:v>Preço / lote</x:v>
      </x:c>
      <x:c r="I9" s="21" t="str">
        <x:v>Subtotal cotado</x:v>
      </x:c>
      <x:c r="J9" s="21" t="str">
        <x:v>Link 1</x:v>
      </x:c>
      <x:c r="K9" s="21" t="str">
        <x:v>Link 2</x:v>
      </x:c>
      <x:c r="L9" s="21" t="str">
        <x:v>Link 3</x:v>
      </x:c>
      <x:c r="M9" s="21" t="str">
        <x:v>Para que serve / critério de escolha</x:v>
      </x:c>
    </x:row>
    <x:row r="10" ht="84" customHeight="1">
      <x:c r="A10" s="22" t="str">
        <x:v>01</x:v>
      </x:c>
      <x:c r="B10" s="22" t="str">
        <x:v>Raspberry Pi Pico — RP2040</x:v>
      </x:c>
      <x:c r="C10" s="30" t="n">
        <x:v>2</x:v>
      </x:c>
      <x:c r="D10" s="31" t="str">
        <x:v>placa</x:v>
      </x:c>
      <x:c r="E10" s="30" t="n">
        <x:v>1</x:v>
      </x:c>
      <x:c r="F10" s="31" t="n">
        <x:f>VLOOKUP($A10&amp;"-"&amp;$E10,'Cotações'!$A$8:$K$67,6,FALSE)</x:f>
        <x:v>1</x:v>
      </x:c>
      <x:c r="G10" s="31" t="n">
        <x:f>ROUNDUP(C10/F10,0)</x:f>
        <x:v>2</x:v>
      </x:c>
      <x:c r="H10" s="35" t="n">
        <x:f>IF(VLOOKUP($A10&amp;"-"&amp;$E10,'Cotações'!$A$8:$K$67,7,FALSE)=0,"",VLOOKUP($A10&amp;"-"&amp;$E10,'Cotações'!$A$8:$K$67,7,FALSE))</x:f>
        <x:v>75.86</x:v>
      </x:c>
      <x:c r="I10" s="35" t="n">
        <x:f>IF(C10=0,0,IF(H10="","",G10*H10))</x:f>
        <x:v>151.72</x:v>
      </x:c>
      <x:c r="J10" s="37" t="str">
        <x:f>IFERROR(HYPERLINK('Cotações'!J8,'Cotações'!D8),'Cotações'!D8)</x:f>
        <x:v>RoboBuilders</x:v>
      </x:c>
      <x:c r="K10" s="37" t="str">
        <x:f>IFERROR(HYPERLINK('Cotações'!J9,'Cotações'!D9),'Cotações'!D9)</x:f>
        <x:v>Usinainfo</x:v>
      </x:c>
      <x:c r="L10" s="37" t="str">
        <x:f>IFERROR(HYPERLINK('Cotações'!J10,'Cotações'!D10),'Cotações'!D10)</x:f>
        <x:v>Proesi</x:v>
      </x:c>
      <x:c r="M10" s="22" t="str">
        <x:v>Uma placa ativa e uma reserva. USB alimenta a lógica; não exige fonte externa de 3,3 V. Escolher Pico com RP2040, não Pico 2.</x:v>
      </x:c>
    </x:row>
    <x:row r="11" ht="84" customHeight="1">
      <x:c r="A11" s="27" t="str">
        <x:v>02</x:v>
      </x:c>
      <x:c r="B11" s="27" t="str">
        <x:v>Conjunto térmico: TEC + dissipador + ventilação</x:v>
      </x:c>
      <x:c r="C11" s="30" t="n">
        <x:v>1</x:v>
      </x:c>
      <x:c r="D11" s="32" t="str">
        <x:v>conjunto</x:v>
      </x:c>
      <x:c r="E11" s="30" t="n">
        <x:v>1</x:v>
      </x:c>
      <x:c r="F11" s="32" t="n">
        <x:f>VLOOKUP($A11&amp;"-"&amp;$E11,'Cotações'!$A$8:$K$67,6,FALSE)</x:f>
        <x:v>1</x:v>
      </x:c>
      <x:c r="G11" s="32" t="n">
        <x:f>ROUNDUP(C11/F11,0)</x:f>
        <x:v>1</x:v>
      </x:c>
      <x:c r="H11" s="36" t="n">
        <x:f>IF(VLOOKUP($A11&amp;"-"&amp;$E11,'Cotações'!$A$8:$K$67,7,FALSE)=0,"",VLOOKUP($A11&amp;"-"&amp;$E11,'Cotações'!$A$8:$K$67,7,FALSE))</x:f>
        <x:v>102.9</x:v>
      </x:c>
      <x:c r="I11" s="36" t="n">
        <x:f>IF(C11=0,0,IF(H11="","",G11*H11))</x:f>
        <x:v>102.9</x:v>
      </x:c>
      <x:c r="J11" s="38" t="str">
        <x:f>IFERROR(HYPERLINK('Cotações'!J11,'Cotações'!D11),'Cotações'!D11)</x:f>
        <x:v>Dissipatec</x:v>
      </x:c>
      <x:c r="K11" s="38" t="str">
        <x:f>IFERROR(HYPERLINK('Cotações'!J12,'Cotações'!D12),'Cotações'!D12)</x:f>
        <x:v>TDTEC</x:v>
      </x:c>
      <x:c r="L11" s="38" t="str">
        <x:f>IFERROR(HYPERLINK('Cotações'!J13,'Cotações'!D13),'Cotações'!D13)</x:f>
        <x:v>Shopee / Dissipatec</x:v>
      </x:c>
      <x:c r="M11" s="27" t="str">
        <x:v>Pastilha TEC1-12706 para bancada didática. O kit reúne TEC, dissipação e ventilação. Não foi comprovada equivalência com o TEC do laser.</x:v>
      </x:c>
    </x:row>
    <x:row r="12" ht="84" customHeight="1">
      <x:c r="A12" s="22" t="str">
        <x:v>03</x:v>
      </x:c>
      <x:c r="B12" s="22" t="str">
        <x:v>Ponte H BTS7960 — estudo de acionamento</x:v>
      </x:c>
      <x:c r="C12" s="30" t="n">
        <x:v>0</x:v>
      </x:c>
      <x:c r="D12" s="31" t="str">
        <x:v>módulo</x:v>
      </x:c>
      <x:c r="E12" s="30" t="n">
        <x:v>1</x:v>
      </x:c>
      <x:c r="F12" s="31" t="n">
        <x:f>VLOOKUP($A12&amp;"-"&amp;$E12,'Cotações'!$A$8:$K$67,6,FALSE)</x:f>
        <x:v>1</x:v>
      </x:c>
      <x:c r="G12" s="31" t="n">
        <x:f>ROUNDUP(C12/F12,0)</x:f>
        <x:v>0</x:v>
      </x:c>
      <x:c r="H12" s="35" t="n">
        <x:f>IF(VLOOKUP($A12&amp;"-"&amp;$E12,'Cotações'!$A$8:$K$67,7,FALSE)=0,"",VLOOKUP($A12&amp;"-"&amp;$E12,'Cotações'!$A$8:$K$67,7,FALSE))</x:f>
        <x:v>44.99</x:v>
      </x:c>
      <x:c r="I12" s="35" t="n">
        <x:f>IF(C12=0,0,IF(H12="","",G12*H12))</x:f>
        <x:v>0</x:v>
      </x:c>
      <x:c r="J12" s="37" t="str">
        <x:f>IFERROR(HYPERLINK('Cotações'!J14,'Cotações'!D14),'Cotações'!D14)</x:f>
        <x:v>Casa da Robótica</x:v>
      </x:c>
      <x:c r="K12" s="37" t="str">
        <x:f>IFERROR(HYPERLINK('Cotações'!J15,'Cotações'!D15),'Cotações'!D15)</x:f>
        <x:v>Vida de Silício</x:v>
      </x:c>
      <x:c r="L12" s="37" t="str">
        <x:f>IFERROR(HYPERLINK('Cotações'!J16,'Cotações'!D16),'Cotações'!D16)</x:f>
        <x:v>Saravati</x:v>
      </x:c>
      <x:c r="M12" s="22" t="str">
        <x:v>Opcional, fora da compra base. Serve para estudar reversão e potência. Uso com TEC exige projeto do filtro e da malha; não é controlador de laser pronto.</x:v>
      </x:c>
    </x:row>
    <x:row r="13" ht="84" customHeight="1">
      <x:c r="A13" s="27" t="str">
        <x:v>04</x:v>
      </x:c>
      <x:c r="B13" s="27" t="str">
        <x:v>Sensor NTC 10 kΩ — B3950</x:v>
      </x:c>
      <x:c r="C13" s="30" t="n">
        <x:v>2</x:v>
      </x:c>
      <x:c r="D13" s="32" t="str">
        <x:v>sensor</x:v>
      </x:c>
      <x:c r="E13" s="30" t="n">
        <x:v>1</x:v>
      </x:c>
      <x:c r="F13" s="32" t="n">
        <x:f>VLOOKUP($A13&amp;"-"&amp;$E13,'Cotações'!$A$8:$K$67,6,FALSE)</x:f>
        <x:v>1</x:v>
      </x:c>
      <x:c r="G13" s="32" t="n">
        <x:f>ROUNDUP(C13/F13,0)</x:f>
        <x:v>2</x:v>
      </x:c>
      <x:c r="H13" s="36" t="n">
        <x:f>IF(VLOOKUP($A13&amp;"-"&amp;$E13,'Cotações'!$A$8:$K$67,7,FALSE)=0,"",VLOOKUP($A13&amp;"-"&amp;$E13,'Cotações'!$A$8:$K$67,7,FALSE))</x:f>
        <x:v>25.2</x:v>
      </x:c>
      <x:c r="I13" s="36" t="n">
        <x:f>IF(C13=0,0,IF(H13="","",G13*H13))</x:f>
        <x:v>50.4</x:v>
      </x:c>
      <x:c r="J13" s="38" t="str">
        <x:f>IFERROR(HYPERLINK('Cotações'!J17,'Cotações'!D17),'Cotações'!D17)</x:f>
        <x:v>Malta Suprimentos</x:v>
      </x:c>
      <x:c r="K13" s="38" t="str">
        <x:f>IFERROR(HYPERLINK('Cotações'!J18,'Cotações'!D18),'Cotações'!D18)</x:f>
        <x:v>Easytronics</x:v>
      </x:c>
      <x:c r="L13" s="38" t="str">
        <x:f>IFERROR(HYPERLINK('Cotações'!J19,'Cotações'!D19),'Cotações'!D19)</x:f>
        <x:v>Liohm</x:v>
      </x:c>
      <x:c r="M13" s="27" t="str">
        <x:v>Um sensor acompanha a carga térmica e outro o dissipador. O formato físico das alternativas muda; prever fixação e bom contato térmico.</x:v>
      </x:c>
    </x:row>
    <x:row r="14" ht="84" customHeight="1">
      <x:c r="A14" s="22" t="str">
        <x:v>05</x:v>
      </x:c>
      <x:c r="B14" s="22" t="str">
        <x:v>ADC ADS1115 em módulo I²C</x:v>
      </x:c>
      <x:c r="C14" s="30" t="n">
        <x:v>1</x:v>
      </x:c>
      <x:c r="D14" s="31" t="str">
        <x:v>módulo</x:v>
      </x:c>
      <x:c r="E14" s="30" t="n">
        <x:v>1</x:v>
      </x:c>
      <x:c r="F14" s="31" t="n">
        <x:f>VLOOKUP($A14&amp;"-"&amp;$E14,'Cotações'!$A$8:$K$67,6,FALSE)</x:f>
        <x:v>1</x:v>
      </x:c>
      <x:c r="G14" s="31" t="n">
        <x:f>ROUNDUP(C14/F14,0)</x:f>
        <x:v>1</x:v>
      </x:c>
      <x:c r="H14" s="35" t="n">
        <x:f>IF(VLOOKUP($A14&amp;"-"&amp;$E14,'Cotações'!$A$8:$K$67,7,FALSE)=0,"",VLOOKUP($A14&amp;"-"&amp;$E14,'Cotações'!$A$8:$K$67,7,FALSE))</x:f>
        <x:v>16.2</x:v>
      </x:c>
      <x:c r="I14" s="35" t="n">
        <x:f>IF(C14=0,0,IF(H14="","",G14*H14))</x:f>
        <x:v>16.2</x:v>
      </x:c>
      <x:c r="J14" s="37" t="str">
        <x:f>IFERROR(HYPERLINK('Cotações'!J20,'Cotações'!D20),'Cotações'!D20)</x:f>
        <x:v>A2 Robotics</x:v>
      </x:c>
      <x:c r="K14" s="37" t="str">
        <x:f>IFERROR(HYPERLINK('Cotações'!J21,'Cotações'!D21),'Cotações'!D21)</x:f>
        <x:v>Ardushop</x:v>
      </x:c>
      <x:c r="L14" s="37" t="str">
        <x:f>IFERROR(HYPERLINK('Cotações'!J22,'Cotações'!D22),'Cotações'!D22)</x:f>
        <x:v>Saravati</x:v>
      </x:c>
      <x:c r="M14" s="22" t="str">
        <x:v>Lê os divisores dos dois NTCs e a tensão do shunt. Alimentar em 3,3 V e manter os pull-ups I²C em 3,3 V. Não substitui a aquisição do MZM.</x:v>
      </x:c>
    </x:row>
    <x:row r="15" ht="84" customHeight="1">
      <x:c r="A15" s="27" t="str">
        <x:v>06</x:v>
      </x:c>
      <x:c r="B15" s="27" t="str">
        <x:v>Resistor 10 kΩ, 1%, PTH</x:v>
      </x:c>
      <x:c r="C15" s="30" t="n">
        <x:v>10</x:v>
      </x:c>
      <x:c r="D15" s="32" t="str">
        <x:v>peça</x:v>
      </x:c>
      <x:c r="E15" s="30" t="n">
        <x:v>1</x:v>
      </x:c>
      <x:c r="F15" s="32" t="n">
        <x:f>VLOOKUP($A15&amp;"-"&amp;$E15,'Cotações'!$A$8:$K$67,6,FALSE)</x:f>
        <x:v>10</x:v>
      </x:c>
      <x:c r="G15" s="32" t="n">
        <x:f>ROUNDUP(C15/F15,0)</x:f>
        <x:v>1</x:v>
      </x:c>
      <x:c r="H15" s="36" t="n">
        <x:f>IF(VLOOKUP($A15&amp;"-"&amp;$E15,'Cotações'!$A$8:$K$67,7,FALSE)=0,"",VLOOKUP($A15&amp;"-"&amp;$E15,'Cotações'!$A$8:$K$67,7,FALSE))</x:f>
        <x:v>0.9</x:v>
      </x:c>
      <x:c r="I15" s="36" t="n">
        <x:f>IF(C15=0,0,IF(H15="","",G15*H15))</x:f>
        <x:v>0.9</x:v>
      </x:c>
      <x:c r="J15" s="38" t="str">
        <x:f>IFERROR(HYPERLINK('Cotações'!J23,'Cotações'!D23),'Cotações'!D23)</x:f>
        <x:v>Smart Kits</x:v>
      </x:c>
      <x:c r="K15" s="38" t="str">
        <x:f>IFERROR(HYPERLINK('Cotações'!J24,'Cotações'!D24),'Cotações'!D24)</x:f>
        <x:v>Proesi</x:v>
      </x:c>
      <x:c r="L15" s="38" t="str">
        <x:f>IFERROR(HYPERLINK('Cotações'!J25,'Cotações'!D25),'Cotações'!D25)</x:f>
        <x:v>Achei Componentes</x:v>
      </x:c>
      <x:c r="M15" s="27" t="str">
        <x:v>Dois resistores formam os divisores de tensão dos NTCs; o restante fica de reserva. Aceitar potência de 1/4 W ou superior.</x:v>
      </x:c>
    </x:row>
    <x:row r="16" ht="84" customHeight="1">
      <x:c r="A16" s="22" t="str">
        <x:v>07</x:v>
      </x:c>
      <x:c r="B16" s="22" t="str">
        <x:v>Capacitor cerâmico 100 nF, 50 V, PTH</x:v>
      </x:c>
      <x:c r="C16" s="30" t="n">
        <x:v>10</x:v>
      </x:c>
      <x:c r="D16" s="31" t="str">
        <x:v>peça</x:v>
      </x:c>
      <x:c r="E16" s="30" t="n">
        <x:v>1</x:v>
      </x:c>
      <x:c r="F16" s="31" t="n">
        <x:f>VLOOKUP($A16&amp;"-"&amp;$E16,'Cotações'!$A$8:$K$67,6,FALSE)</x:f>
        <x:v>10</x:v>
      </x:c>
      <x:c r="G16" s="31" t="n">
        <x:f>ROUNDUP(C16/F16,0)</x:f>
        <x:v>1</x:v>
      </x:c>
      <x:c r="H16" s="35" t="n">
        <x:f>IF(VLOOKUP($A16&amp;"-"&amp;$E16,'Cotações'!$A$8:$K$67,7,FALSE)=0,"",VLOOKUP($A16&amp;"-"&amp;$E16,'Cotações'!$A$8:$K$67,7,FALSE))</x:f>
        <x:v>1.9</x:v>
      </x:c>
      <x:c r="I16" s="35" t="n">
        <x:f>IF(C16=0,0,IF(H16="","",G16*H16))</x:f>
        <x:v>1.9</x:v>
      </x:c>
      <x:c r="J16" s="37" t="str">
        <x:f>IFERROR(HYPERLINK('Cotações'!J26,'Cotações'!D26),'Cotações'!D26)</x:f>
        <x:v>Achei Componentes</x:v>
      </x:c>
      <x:c r="K16" s="37" t="str">
        <x:f>IFERROR(HYPERLINK('Cotações'!J27,'Cotações'!D27),'Cotações'!D27)</x:f>
        <x:v>Eletrogate</x:v>
      </x:c>
      <x:c r="L16" s="37" t="str">
        <x:f>IFERROR(HYPERLINK('Cotações'!J28,'Cotações'!D28),'Cotações'!D28)</x:f>
        <x:v>MakerHero</x:v>
      </x:c>
      <x:c r="M16" s="22" t="str">
        <x:v>Desacoplamento e filtragem local da parte de medição. Pacote inclui reserva. Não é o filtro de potência de uma ponte H para TEC.</x:v>
      </x:c>
    </x:row>
    <x:row r="17" ht="84" customHeight="1">
      <x:c r="A17" s="27" t="str">
        <x:v>08</x:v>
      </x:c>
      <x:c r="B17" s="27" t="str">
        <x:v>Aquecedor resistivo: 10 Ω, 20 W</x:v>
      </x:c>
      <x:c r="C17" s="30" t="n">
        <x:v>1</x:v>
      </x:c>
      <x:c r="D17" s="32" t="str">
        <x:v>resistor</x:v>
      </x:c>
      <x:c r="E17" s="30" t="n">
        <x:v>1</x:v>
      </x:c>
      <x:c r="F17" s="32" t="n">
        <x:f>VLOOKUP($A17&amp;"-"&amp;$E17,'Cotações'!$A$8:$K$67,6,FALSE)</x:f>
        <x:v>1</x:v>
      </x:c>
      <x:c r="G17" s="32" t="n">
        <x:f>ROUNDUP(C17/F17,0)</x:f>
        <x:v>1</x:v>
      </x:c>
      <x:c r="H17" s="36" t="str">
        <x:f>IF(VLOOKUP($A17&amp;"-"&amp;$E17,'Cotações'!$A$8:$K$67,7,FALSE)=0,"",VLOOKUP($A17&amp;"-"&amp;$E17,'Cotações'!$A$8:$K$67,7,FALSE))</x:f>
      </x:c>
      <x:c r="I17" s="36" t="str">
        <x:f>IF(C17=0,0,IF(H17="","",G17*H17))</x:f>
      </x:c>
      <x:c r="J17" s="38" t="str">
        <x:f>IFERROR(HYPERLINK('Cotações'!J29,'Cotações'!D29),'Cotações'!D29)</x:f>
        <x:v>Proesi</x:v>
      </x:c>
      <x:c r="K17" s="38" t="str">
        <x:f>IFERROR(HYPERLINK('Cotações'!J30,'Cotações'!D30),'Cotações'!D30)</x:f>
        <x:v>Equitronic</x:v>
      </x:c>
      <x:c r="L17" s="38" t="str">
        <x:f>IFERROR(HYPERLINK('Cotações'!J31,'Cotações'!D31),'Cotações'!D31)</x:f>
        <x:v>Mercado Livre</x:v>
      </x:c>
      <x:c r="M17" s="27" t="str">
        <x:v>Produz calor para imitar a dissipação do laser. Ensaio inicial proposto: 5 V, 0,5 A e 2,5 W calculados. Fixar à carga com isolamento elétrico.</x:v>
      </x:c>
    </x:row>
    <x:row r="18" ht="84" customHeight="1">
      <x:c r="A18" s="22" t="str">
        <x:v>09</x:v>
      </x:c>
      <x:c r="B18" s="22" t="str">
        <x:v>Módulo MOSFET D4184 com entrada 3,3 V</x:v>
      </x:c>
      <x:c r="C18" s="30" t="n">
        <x:v>1</x:v>
      </x:c>
      <x:c r="D18" s="31" t="str">
        <x:v>módulo</x:v>
      </x:c>
      <x:c r="E18" s="30" t="n">
        <x:v>1</x:v>
      </x:c>
      <x:c r="F18" s="31" t="n">
        <x:f>VLOOKUP($A18&amp;"-"&amp;$E18,'Cotações'!$A$8:$K$67,6,FALSE)</x:f>
        <x:v>1</x:v>
      </x:c>
      <x:c r="G18" s="31" t="n">
        <x:f>ROUNDUP(C18/F18,0)</x:f>
        <x:v>1</x:v>
      </x:c>
      <x:c r="H18" s="35" t="n">
        <x:f>IF(VLOOKUP($A18&amp;"-"&amp;$E18,'Cotações'!$A$8:$K$67,7,FALSE)=0,"",VLOOKUP($A18&amp;"-"&amp;$E18,'Cotações'!$A$8:$K$67,7,FALSE))</x:f>
        <x:v>8.5</x:v>
      </x:c>
      <x:c r="I18" s="35" t="n">
        <x:f>IF(C18=0,0,IF(H18="","",G18*H18))</x:f>
        <x:v>8.5</x:v>
      </x:c>
      <x:c r="J18" s="37" t="str">
        <x:f>IFERROR(HYPERLINK('Cotações'!J32,'Cotações'!D32),'Cotações'!D32)</x:f>
        <x:v>Só Tudo</x:v>
      </x:c>
      <x:c r="K18" s="37" t="str">
        <x:f>IFERROR(HYPERLINK('Cotações'!J33,'Cotações'!D33),'Cotações'!D33)</x:f>
        <x:v>Curto Circuito</x:v>
      </x:c>
      <x:c r="L18" s="37" t="str">
        <x:f>IFERROR(HYPERLINK('Cotações'!J34,'Cotações'!D34),'Cotações'!D34)</x:f>
        <x:v>AutoCore Robótica</x:v>
      </x:c>
      <x:c r="M18" s="22" t="str">
        <x:v>Controla por PWM a potência do aquecedor. Escolher a versão de comando 3,3–20 V; há módulos optoacoplados semelhantes que exigem 5 V.</x:v>
      </x:c>
    </x:row>
    <x:row r="19" ht="84" customHeight="1">
      <x:c r="A19" s="27" t="str">
        <x:v>10</x:v>
      </x:c>
      <x:c r="B19" s="27" t="str">
        <x:v>Diodo 1N5408 — carga de três diodos</x:v>
      </x:c>
      <x:c r="C19" s="30" t="n">
        <x:v>6</x:v>
      </x:c>
      <x:c r="D19" s="32" t="str">
        <x:v>diodo</x:v>
      </x:c>
      <x:c r="E19" s="30" t="n">
        <x:v>1</x:v>
      </x:c>
      <x:c r="F19" s="32" t="n">
        <x:f>VLOOKUP($A19&amp;"-"&amp;$E19,'Cotações'!$A$8:$K$67,6,FALSE)</x:f>
        <x:v>10</x:v>
      </x:c>
      <x:c r="G19" s="32" t="n">
        <x:f>ROUNDUP(C19/F19,0)</x:f>
        <x:v>1</x:v>
      </x:c>
      <x:c r="H19" s="36" t="n">
        <x:f>IF(VLOOKUP($A19&amp;"-"&amp;$E19,'Cotações'!$A$8:$K$67,7,FALSE)=0,"",VLOOKUP($A19&amp;"-"&amp;$E19,'Cotações'!$A$8:$K$67,7,FALSE))</x:f>
        <x:v>7.9</x:v>
      </x:c>
      <x:c r="I19" s="36" t="n">
        <x:f>IF(C19=0,0,IF(H19="","",G19*H19))</x:f>
        <x:v>7.9</x:v>
      </x:c>
      <x:c r="J19" s="38" t="str">
        <x:f>IFERROR(HYPERLINK('Cotações'!J35,'Cotações'!D35),'Cotações'!D35)</x:f>
        <x:v>Eletrogate</x:v>
      </x:c>
      <x:c r="K19" s="38" t="str">
        <x:f>IFERROR(HYPERLINK('Cotações'!J36,'Cotações'!D36),'Cotações'!D36)</x:f>
        <x:v>Baú da Eletrônica</x:v>
      </x:c>
      <x:c r="L19" s="38" t="str">
        <x:f>IFERROR(HYPERLINK('Cotações'!J37,'Cotações'!D37),'Cotações'!D37)</x:f>
        <x:v>A2 Robotics</x:v>
      </x:c>
      <x:c r="M19" s="27" t="str">
        <x:v>Três diodos em série formam a carga elétrica; três são reserva. A carga não produz luz nem reproduz a curva óptica do laser.</x:v>
      </x:c>
    </x:row>
    <x:row r="20" ht="84" customHeight="1">
      <x:c r="A20" s="22" t="str">
        <x:v>11</x:v>
      </x:c>
      <x:c r="B20" s="22" t="str">
        <x:v>Resistor shunt de 1 Ω, 5 W</x:v>
      </x:c>
      <x:c r="C20" s="30" t="n">
        <x:v>2</x:v>
      </x:c>
      <x:c r="D20" s="31" t="str">
        <x:v>resistor</x:v>
      </x:c>
      <x:c r="E20" s="30" t="n">
        <x:v>1</x:v>
      </x:c>
      <x:c r="F20" s="31" t="n">
        <x:f>VLOOKUP($A20&amp;"-"&amp;$E20,'Cotações'!$A$8:$K$67,6,FALSE)</x:f>
        <x:v>1</x:v>
      </x:c>
      <x:c r="G20" s="31" t="n">
        <x:f>ROUNDUP(C20/F20,0)</x:f>
        <x:v>2</x:v>
      </x:c>
      <x:c r="H20" s="35" t="n">
        <x:f>IF(VLOOKUP($A20&amp;"-"&amp;$E20,'Cotações'!$A$8:$K$67,7,FALSE)=0,"",VLOOKUP($A20&amp;"-"&amp;$E20,'Cotações'!$A$8:$K$67,7,FALSE))</x:f>
        <x:v>1.76</x:v>
      </x:c>
      <x:c r="I20" s="35" t="n">
        <x:f>IF(C20=0,0,IF(H20="","",G20*H20))</x:f>
        <x:v>3.52</x:v>
      </x:c>
      <x:c r="J20" s="37" t="str">
        <x:f>IFERROR(HYPERLINK('Cotações'!J38,'Cotações'!D38),'Cotações'!D38)</x:f>
        <x:v>Achei Componentes</x:v>
      </x:c>
      <x:c r="K20" s="37" t="str">
        <x:f>IFERROR(HYPERLINK('Cotações'!J39,'Cotações'!D39),'Cotações'!D39)</x:f>
        <x:v>RS Componentes</x:v>
      </x:c>
      <x:c r="L20" s="37" t="str">
        <x:f>IFERROR(HYPERLINK('Cotações'!J40,'Cotações'!D40),'Cotações'!D40)</x:f>
        <x:v>Intertronix</x:v>
      </x:c>
      <x:c r="M20" s="22" t="str">
        <x:v>Um shunt no retorno da carga permite calcular I = V/R; outro fica de reserva. A tolerância de 5% limita a exatidão sem caracterização do valor real.</x:v>
      </x:c>
    </x:row>
    <x:row r="21" ht="84" customHeight="1">
      <x:c r="A21" s="27" t="str">
        <x:v>12</x:v>
      </x:c>
      <x:c r="B21" s="27" t="str">
        <x:v>XL4015 com ajuste de tensão E corrente</x:v>
      </x:c>
      <x:c r="C21" s="30" t="n">
        <x:v>3</x:v>
      </x:c>
      <x:c r="D21" s="32" t="str">
        <x:v>módulo</x:v>
      </x:c>
      <x:c r="E21" s="30" t="n">
        <x:v>1</x:v>
      </x:c>
      <x:c r="F21" s="32" t="n">
        <x:f>VLOOKUP($A21&amp;"-"&amp;$E21,'Cotações'!$A$8:$K$67,6,FALSE)</x:f>
        <x:v>1</x:v>
      </x:c>
      <x:c r="G21" s="32" t="n">
        <x:f>ROUNDUP(C21/F21,0)</x:f>
        <x:v>3</x:v>
      </x:c>
      <x:c r="H21" s="36" t="n">
        <x:f>IF(VLOOKUP($A21&amp;"-"&amp;$E21,'Cotações'!$A$8:$K$67,7,FALSE)=0,"",VLOOKUP($A21&amp;"-"&amp;$E21,'Cotações'!$A$8:$K$67,7,FALSE))</x:f>
        <x:v>16.99</x:v>
      </x:c>
      <x:c r="I21" s="36" t="n">
        <x:f>IF(C21=0,0,IF(H21="","",G21*H21))</x:f>
        <x:v>50.97</x:v>
      </x:c>
      <x:c r="J21" s="38" t="str">
        <x:f>IFERROR(HYPERLINK('Cotações'!J41,'Cotações'!D41),'Cotações'!D41)</x:f>
        <x:v>Casa da Robótica</x:v>
      </x:c>
      <x:c r="K21" s="38" t="str">
        <x:f>IFERROR(HYPERLINK('Cotações'!J42,'Cotações'!D42),'Cotações'!D42)</x:f>
        <x:v>Usinainfo</x:v>
      </x:c>
      <x:c r="L21" s="38" t="str">
        <x:f>IFERROR(HYPERLINK('Cotações'!J43,'Cotações'!D43),'Cotações'!D43)</x:f>
        <x:v>Eletrogate</x:v>
      </x:c>
      <x:c r="M21" s="27" t="str">
        <x:v>Três ramos: TEC com ajuste DC manual; aquecedor em 5 V; carga de diodos com corrente limitada. Comprar versão CC/CV, não módulo de um só trimpot.</x:v>
      </x:c>
    </x:row>
    <x:row r="22" ht="84" customHeight="1">
      <x:c r="A22" s="22" t="str">
        <x:v>13</x:v>
      </x:c>
      <x:c r="B22" s="22" t="str">
        <x:v>Fonte de bancada ajustável 0–30 V / 5 A</x:v>
      </x:c>
      <x:c r="C22" s="30" t="n">
        <x:v>1</x:v>
      </x:c>
      <x:c r="D22" s="31" t="str">
        <x:v>fonte</x:v>
      </x:c>
      <x:c r="E22" s="30" t="n">
        <x:v>1</x:v>
      </x:c>
      <x:c r="F22" s="31" t="n">
        <x:f>VLOOKUP($A22&amp;"-"&amp;$E22,'Cotações'!$A$8:$K$67,6,FALSE)</x:f>
        <x:v>1</x:v>
      </x:c>
      <x:c r="G22" s="31" t="n">
        <x:f>ROUNDUP(C22/F22,0)</x:f>
        <x:v>1</x:v>
      </x:c>
      <x:c r="H22" s="35" t="n">
        <x:f>IF(VLOOKUP($A22&amp;"-"&amp;$E22,'Cotações'!$A$8:$K$67,7,FALSE)=0,"",VLOOKUP($A22&amp;"-"&amp;$E22,'Cotações'!$A$8:$K$67,7,FALSE))</x:f>
        <x:v>410</x:v>
      </x:c>
      <x:c r="I22" s="35" t="n">
        <x:f>IF(C22=0,0,IF(H22="","",G22*H22))</x:f>
        <x:v>410</x:v>
      </x:c>
      <x:c r="J22" s="37" t="str">
        <x:f>IFERROR(HYPERLINK('Cotações'!J44,'Cotações'!D44),'Cotações'!D44)</x:f>
        <x:v>TEC BIG / Sunshine</x:v>
      </x:c>
      <x:c r="K22" s="37" t="str">
        <x:f>IFERROR(HYPERLINK('Cotações'!J45,'Cotações'!D45),'Cotações'!D45)</x:f>
        <x:v>RF4 Ferramentas</x:v>
      </x:c>
      <x:c r="L22" s="37" t="str">
        <x:f>IFERROR(HYPERLINK('Cotações'!J46,'Cotações'!D46),'Cotações'!D46)</x:f>
        <x:v>Shopee / Yaxun</x:v>
      </x:c>
      <x:c r="M22" s="22" t="str">
        <x:v>Alimenta o ensaio em 12 V com limitação de corrente. Excluir da compra se o laboratório já tiver uma. Não representa operação do TEC em sua potência máxima.</x:v>
      </x:c>
    </x:row>
    <x:row r="23" ht="84" customHeight="1">
      <x:c r="A23" s="27" t="str">
        <x:v>14</x:v>
      </x:c>
      <x:c r="B23" s="27" t="str">
        <x:v>Protoboard 830 pontos</x:v>
      </x:c>
      <x:c r="C23" s="30" t="n">
        <x:v>1</x:v>
      </x:c>
      <x:c r="D23" s="32" t="str">
        <x:v>placa</x:v>
      </x:c>
      <x:c r="E23" s="30" t="n">
        <x:v>1</x:v>
      </x:c>
      <x:c r="F23" s="32" t="n">
        <x:f>VLOOKUP($A23&amp;"-"&amp;$E23,'Cotações'!$A$8:$K$67,6,FALSE)</x:f>
        <x:v>1</x:v>
      </x:c>
      <x:c r="G23" s="32" t="n">
        <x:f>ROUNDUP(C23/F23,0)</x:f>
        <x:v>1</x:v>
      </x:c>
      <x:c r="H23" s="36" t="n">
        <x:f>IF(VLOOKUP($A23&amp;"-"&amp;$E23,'Cotações'!$A$8:$K$67,7,FALSE)=0,"",VLOOKUP($A23&amp;"-"&amp;$E23,'Cotações'!$A$8:$K$67,7,FALSE))</x:f>
        <x:v>11.99</x:v>
      </x:c>
      <x:c r="I23" s="36" t="n">
        <x:f>IF(C23=0,0,IF(H23="","",G23*H23))</x:f>
        <x:v>11.99</x:v>
      </x:c>
      <x:c r="J23" s="38" t="str">
        <x:f>IFERROR(HYPERLINK('Cotações'!J47,'Cotações'!D47),'Cotações'!D47)</x:f>
        <x:v>Casa da Robótica</x:v>
      </x:c>
      <x:c r="K23" s="38" t="str">
        <x:f>IFERROR(HYPERLINK('Cotações'!J48,'Cotações'!D48),'Cotações'!D48)</x:f>
        <x:v>Eletrogate</x:v>
      </x:c>
      <x:c r="L23" s="38" t="str">
        <x:f>IFERROR(HYPERLINK('Cotações'!J49,'Cotações'!D49),'Cotações'!D49)</x:f>
        <x:v>Mult Comercial</x:v>
      </x:c>
      <x:c r="M23" s="27" t="str">
        <x:v>Montagem dos NTCs, divisores e sinais de baixa corrente. TEC, aquecedor e corrente dos diodos devem usar conexões soldadas ou bornes apropriados.</x:v>
      </x:c>
    </x:row>
    <x:row r="24" ht="84" customHeight="1">
      <x:c r="A24" s="22" t="str">
        <x:v>15</x:v>
      </x:c>
      <x:c r="B24" s="22" t="str">
        <x:v>Kit de jumpers MM + MF + FF</x:v>
      </x:c>
      <x:c r="C24" s="30" t="n">
        <x:v>1</x:v>
      </x:c>
      <x:c r="D24" s="31" t="str">
        <x:v>kit</x:v>
      </x:c>
      <x:c r="E24" s="30" t="n">
        <x:v>1</x:v>
      </x:c>
      <x:c r="F24" s="31" t="n">
        <x:f>VLOOKUP($A24&amp;"-"&amp;$E24,'Cotações'!$A$8:$K$67,6,FALSE)</x:f>
        <x:v>1</x:v>
      </x:c>
      <x:c r="G24" s="31" t="n">
        <x:f>ROUNDUP(C24/F24,0)</x:f>
        <x:v>1</x:v>
      </x:c>
      <x:c r="H24" s="35" t="n">
        <x:f>IF(VLOOKUP($A24&amp;"-"&amp;$E24,'Cotações'!$A$8:$K$67,7,FALSE)=0,"",VLOOKUP($A24&amp;"-"&amp;$E24,'Cotações'!$A$8:$K$67,7,FALSE))</x:f>
        <x:v>22.9</x:v>
      </x:c>
      <x:c r="I24" s="35" t="n">
        <x:f>IF(C24=0,0,IF(H24="","",G24*H24))</x:f>
        <x:v>22.9</x:v>
      </x:c>
      <x:c r="J24" s="37" t="str">
        <x:f>IFERROR(HYPERLINK('Cotações'!J50,'Cotações'!D50),'Cotações'!D50)</x:f>
        <x:v>MakerHero</x:v>
      </x:c>
      <x:c r="K24" s="37" t="str">
        <x:f>IFERROR(HYPERLINK('Cotações'!J51,'Cotações'!D51),'Cotações'!D51)</x:f>
        <x:v>Casa da Robótica</x:v>
      </x:c>
      <x:c r="L24" s="37" t="str">
        <x:f>IFERROR(HYPERLINK('Cotações'!J52,'Cotações'!D52),'Cotações'!D52)</x:f>
        <x:v>Shopee</x:v>
      </x:c>
      <x:c r="M24" s="22" t="str">
        <x:v>Ligações dos sinais entre Pico, ADC e módulos. Apenas sinais e baixa corrente; não usar jumpers Dupont nos ramos de potência.</x:v>
      </x:c>
    </x:row>
    <x:row r="25" ht="84" customHeight="1">
      <x:c r="A25" s="27" t="str">
        <x:v>16</x:v>
      </x:c>
      <x:c r="B25" s="27" t="str">
        <x:v>Cabo USB-A → micro-USB com dados</x:v>
      </x:c>
      <x:c r="C25" s="30" t="n">
        <x:v>2</x:v>
      </x:c>
      <x:c r="D25" s="32" t="str">
        <x:v>cabo</x:v>
      </x:c>
      <x:c r="E25" s="30" t="n">
        <x:v>1</x:v>
      </x:c>
      <x:c r="F25" s="32" t="n">
        <x:f>VLOOKUP($A25&amp;"-"&amp;$E25,'Cotações'!$A$8:$K$67,6,FALSE)</x:f>
        <x:v>1</x:v>
      </x:c>
      <x:c r="G25" s="32" t="n">
        <x:f>ROUNDUP(C25/F25,0)</x:f>
        <x:v>2</x:v>
      </x:c>
      <x:c r="H25" s="36" t="n">
        <x:f>IF(VLOOKUP($A25&amp;"-"&amp;$E25,'Cotações'!$A$8:$K$67,7,FALSE)=0,"",VLOOKUP($A25&amp;"-"&amp;$E25,'Cotações'!$A$8:$K$67,7,FALSE))</x:f>
        <x:v>9.9</x:v>
      </x:c>
      <x:c r="I25" s="36" t="n">
        <x:f>IF(C25=0,0,IF(H25="","",G25*H25))</x:f>
        <x:v>19.8</x:v>
      </x:c>
      <x:c r="J25" s="38" t="str">
        <x:f>IFERROR(HYPERLINK('Cotações'!J53,'Cotações'!D53),'Cotações'!D53)</x:f>
        <x:v>AutoCore Robótica</x:v>
      </x:c>
      <x:c r="K25" s="38" t="str">
        <x:f>IFERROR(HYPERLINK('Cotações'!J54,'Cotações'!D54),'Cotações'!D54)</x:f>
        <x:v>Eletrogate</x:v>
      </x:c>
      <x:c r="L25" s="38" t="str">
        <x:f>IFERROR(HYPERLINK('Cotações'!J55,'Cotações'!D55),'Cotações'!D55)</x:f>
        <x:v>RoboCore</x:v>
      </x:c>
      <x:c r="M25" s="27" t="str">
        <x:v>Programação e alimentação das duas Pico. Se a placa adquirida tiver USB-C, o cabo precisa acompanhar essa versão.</x:v>
      </x:c>
    </x:row>
    <x:row r="26" ht="84" customHeight="1">
      <x:c r="A26" s="22" t="str">
        <x:v>17</x:v>
      </x:c>
      <x:c r="B26" s="22" t="str">
        <x:v>Barra de pinos macho 1 × 40; 2,54 mm</x:v>
      </x:c>
      <x:c r="C26" s="30" t="n">
        <x:v>3</x:v>
      </x:c>
      <x:c r="D26" s="31" t="str">
        <x:v>barra</x:v>
      </x:c>
      <x:c r="E26" s="30" t="n">
        <x:v>1</x:v>
      </x:c>
      <x:c r="F26" s="31" t="n">
        <x:f>VLOOKUP($A26&amp;"-"&amp;$E26,'Cotações'!$A$8:$K$67,6,FALSE)</x:f>
        <x:v>1</x:v>
      </x:c>
      <x:c r="G26" s="31" t="n">
        <x:f>ROUNDUP(C26/F26,0)</x:f>
        <x:v>3</x:v>
      </x:c>
      <x:c r="H26" s="35" t="n">
        <x:f>IF(VLOOKUP($A26&amp;"-"&amp;$E26,'Cotações'!$A$8:$K$67,7,FALSE)=0,"",VLOOKUP($A26&amp;"-"&amp;$E26,'Cotações'!$A$8:$K$67,7,FALSE))</x:f>
        <x:v>0.8</x:v>
      </x:c>
      <x:c r="I26" s="35" t="n">
        <x:f>IF(C26=0,0,IF(H26="","",G26*H26))</x:f>
        <x:v>2.4000000000000004</x:v>
      </x:c>
      <x:c r="J26" s="37" t="str">
        <x:f>IFERROR(HYPERLINK('Cotações'!J56,'Cotações'!D56),'Cotações'!D56)</x:f>
        <x:v>Eletrogate</x:v>
      </x:c>
      <x:c r="K26" s="37" t="str">
        <x:f>IFERROR(HYPERLINK('Cotações'!J57,'Cotações'!D57),'Cotações'!D57)</x:f>
        <x:v>Mult Comercial</x:v>
      </x:c>
      <x:c r="L26" s="37" t="str">
        <x:f>IFERROR(HYPERLINK('Cotações'!J58,'Cotações'!D58),'Cotações'!D58)</x:f>
        <x:v>Usinainfo</x:v>
      </x:c>
      <x:c r="M26" s="22" t="str">
        <x:v>Duas barras atendem duas Pico sem pinos soldados; a terceira é reserva para o ADC. Dividir cada barra em duas de 20 pinos para uma Pico.</x:v>
      </x:c>
    </x:row>
    <x:row r="27" ht="84" customHeight="1">
      <x:c r="A27" s="27" t="str">
        <x:v>18</x:v>
      </x:c>
      <x:c r="B27" s="27" t="str">
        <x:v>Fio de cobre flexível 18 AWG, vermelho/preto</x:v>
      </x:c>
      <x:c r="C27" s="30" t="n">
        <x:v>2</x:v>
      </x:c>
      <x:c r="D27" s="32" t="str">
        <x:v>m total</x:v>
      </x:c>
      <x:c r="E27" s="30" t="n">
        <x:v>1</x:v>
      </x:c>
      <x:c r="F27" s="32" t="n">
        <x:f>VLOOKUP($A27&amp;"-"&amp;$E27,'Cotações'!$A$8:$K$67,6,FALSE)</x:f>
        <x:v>4</x:v>
      </x:c>
      <x:c r="G27" s="32" t="n">
        <x:f>ROUNDUP(C27/F27,0)</x:f>
        <x:v>1</x:v>
      </x:c>
      <x:c r="H27" s="36" t="n">
        <x:f>IF(VLOOKUP($A27&amp;"-"&amp;$E27,'Cotações'!$A$8:$K$67,7,FALSE)=0,"",VLOOKUP($A27&amp;"-"&amp;$E27,'Cotações'!$A$8:$K$67,7,FALSE))</x:f>
        <x:v>84.9</x:v>
      </x:c>
      <x:c r="I27" s="36" t="n">
        <x:f>IF(C27=0,0,IF(H27="","",G27*H27))</x:f>
        <x:v>84.9</x:v>
      </x:c>
      <x:c r="J27" s="38" t="str">
        <x:f>IFERROR(HYPERLINK('Cotações'!J59,'Cotações'!D59),'Cotações'!D59)</x:f>
        <x:v>Azupa</x:v>
      </x:c>
      <x:c r="K27" s="38" t="str">
        <x:f>IFERROR(HYPERLINK('Cotações'!J60,'Cotações'!D60),'Cotações'!D60)</x:f>
        <x:v>Action Modelismo</x:v>
      </x:c>
      <x:c r="L27" s="38" t="str">
        <x:f>IFERROR(HYPERLINK('Cotações'!J61,'Cotações'!D61),'Cotações'!D61)</x:f>
        <x:v>Shopee</x:v>
      </x:c>
      <x:c r="M27" s="27" t="str">
        <x:v>Previsão mínima de 1 m por cor para os ramos de baixa tensão. As ofertas têm comprimentos diferentes; cálculo considera metros totais.</x:v>
      </x:c>
    </x:row>
    <x:row r="28" ht="84" customHeight="1">
      <x:c r="A28" s="22" t="str">
        <x:v>19</x:v>
      </x:c>
      <x:c r="B28" s="22" t="str">
        <x:v>Porta-fusível de fio, 5 × 20 mm</x:v>
      </x:c>
      <x:c r="C28" s="30" t="n">
        <x:v>2</x:v>
      </x:c>
      <x:c r="D28" s="31" t="str">
        <x:v>peça</x:v>
      </x:c>
      <x:c r="E28" s="30" t="n">
        <x:v>1</x:v>
      </x:c>
      <x:c r="F28" s="31" t="n">
        <x:f>VLOOKUP($A28&amp;"-"&amp;$E28,'Cotações'!$A$8:$K$67,6,FALSE)</x:f>
        <x:v>1</x:v>
      </x:c>
      <x:c r="G28" s="31" t="n">
        <x:f>ROUNDUP(C28/F28,0)</x:f>
        <x:v>2</x:v>
      </x:c>
      <x:c r="H28" s="35" t="n">
        <x:f>IF(VLOOKUP($A28&amp;"-"&amp;$E28,'Cotações'!$A$8:$K$67,7,FALSE)=0,"",VLOOKUP($A28&amp;"-"&amp;$E28,'Cotações'!$A$8:$K$67,7,FALSE))</x:f>
        <x:v>1.9</x:v>
      </x:c>
      <x:c r="I28" s="35" t="n">
        <x:f>IF(C28=0,0,IF(H28="","",G28*H28))</x:f>
        <x:v>3.8</x:v>
      </x:c>
      <x:c r="J28" s="37" t="str">
        <x:f>IFERROR(HYPERLINK('Cotações'!J62,'Cotações'!D62),'Cotações'!D62)</x:f>
        <x:v>Eletrogate</x:v>
      </x:c>
      <x:c r="K28" s="37" t="str">
        <x:f>IFERROR(HYPERLINK('Cotações'!J63,'Cotações'!D63),'Cotações'!D63)</x:f>
        <x:v>Baú da Eletrônica</x:v>
      </x:c>
      <x:c r="L28" s="37" t="str">
        <x:f>IFERROR(HYPERLINK('Cotações'!J64,'Cotações'!D64),'Cotações'!D64)</x:f>
        <x:v>AutoCore Robótica</x:v>
      </x:c>
      <x:c r="M28" s="22" t="str">
        <x:v>Proteção em série com os ramos de potência do protótipo. Usar porta-fusível isolado; não é componente para inserir na protoboard.</x:v>
      </x:c>
    </x:row>
    <x:row r="29" ht="84" customHeight="1">
      <x:c r="A29" s="27" t="str">
        <x:v>20</x:v>
      </x:c>
      <x:c r="B29" s="27" t="str">
        <x:v>Fusível rápido 3 A, 5 × 20 mm</x:v>
      </x:c>
      <x:c r="C29" s="30" t="n">
        <x:v>5</x:v>
      </x:c>
      <x:c r="D29" s="32" t="str">
        <x:v>peça</x:v>
      </x:c>
      <x:c r="E29" s="30" t="n">
        <x:v>1</x:v>
      </x:c>
      <x:c r="F29" s="32" t="n">
        <x:f>VLOOKUP($A29&amp;"-"&amp;$E29,'Cotações'!$A$8:$K$67,6,FALSE)</x:f>
        <x:v>1</x:v>
      </x:c>
      <x:c r="G29" s="32" t="n">
        <x:f>ROUNDUP(C29/F29,0)</x:f>
        <x:v>5</x:v>
      </x:c>
      <x:c r="H29" s="36" t="n">
        <x:f>IF(VLOOKUP($A29&amp;"-"&amp;$E29,'Cotações'!$A$8:$K$67,7,FALSE)=0,"",VLOOKUP($A29&amp;"-"&amp;$E29,'Cotações'!$A$8:$K$67,7,FALSE))</x:f>
        <x:v>0.43</x:v>
      </x:c>
      <x:c r="I29" s="36" t="n">
        <x:f>IF(C29=0,0,IF(H29="","",G29*H29))</x:f>
        <x:v>2.15</x:v>
      </x:c>
      <x:c r="J29" s="38" t="str">
        <x:f>IFERROR(HYPERLINK('Cotações'!J65,'Cotações'!D65),'Cotações'!D65)</x:f>
        <x:v>Plenobras</x:v>
      </x:c>
      <x:c r="K29" s="38" t="str">
        <x:f>IFERROR(HYPERLINK('Cotações'!J66,'Cotações'!D66),'Cotações'!D66)</x:f>
        <x:v>Proesi</x:v>
      </x:c>
      <x:c r="L29" s="38" t="str">
        <x:f>IFERROR(HYPERLINK('Cotações'!J67,'Cotações'!D67),'Cotações'!D67)</x:f>
        <x:v>Dimensional</x:v>
      </x:c>
      <x:c r="M29" s="27" t="str">
        <x:v>Dois em uso e três reservas para ensaios com corrente limitada. Valor preliminar dos ramos; não permite explorar 6 A do TEC. Confirmar aplicação em CC.</x:v>
      </x:c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 ht="34.5" customHeight="1">
      <x:c r="A31" s="7" t="str">
        <x:v>Compra inicial: a ponte H (03) está excluída. O TEC é acionado em corrente contínua com ajuste manual no XL4015; a malha automática do TEC ainda requer um driver e filtro dimensionados para o laser.</x:v>
      </x:c>
      <x:c r="B31" s="7" t="str">
        <x:v>Compra inicial: a ponte H (03) está excluída. O TEC é acionado em corrente contínua com ajuste manual no XL4015; a malha automática do TEC ainda requer um driver e filtro dimensionados para o laser.</x:v>
      </x:c>
      <x:c r="C31" s="7" t="str">
        <x:v>Compra inicial: a ponte H (03) está excluída. O TEC é acionado em corrente contínua com ajuste manual no XL4015; a malha automática do TEC ainda requer um driver e filtro dimensionados para o laser.</x:v>
      </x:c>
      <x:c r="D31" s="7" t="str">
        <x:v>Compra inicial: a ponte H (03) está excluída. O TEC é acionado em corrente contínua com ajuste manual no XL4015; a malha automática do TEC ainda requer um driver e filtro dimensionados para o laser.</x:v>
      </x:c>
      <x:c r="E31" s="7" t="str">
        <x:v>Compra inicial: a ponte H (03) está excluída. O TEC é acionado em corrente contínua com ajuste manual no XL4015; a malha automática do TEC ainda requer um driver e filtro dimensionados para o laser.</x:v>
      </x:c>
      <x:c r="F31" s="7" t="str">
        <x:v>Compra inicial: a ponte H (03) está excluída. O TEC é acionado em corrente contínua com ajuste manual no XL4015; a malha automática do TEC ainda requer um driver e filtro dimensionados para o laser.</x:v>
      </x:c>
      <x:c r="G31" s="7" t="str">
        <x:v>Compra inicial: a ponte H (03) está excluída. O TEC é acionado em corrente contínua com ajuste manual no XL4015; a malha automática do TEC ainda requer um driver e filtro dimensionados para o laser.</x:v>
      </x:c>
      <x:c r="H31" s="7" t="str">
        <x:v>Compra inicial: a ponte H (03) está excluída. O TEC é acionado em corrente contínua com ajuste manual no XL4015; a malha automática do TEC ainda requer um driver e filtro dimensionados para o laser.</x:v>
      </x:c>
      <x:c r="I31" s="7" t="str">
        <x:v>Compra inicial: a ponte H (03) está excluída. O TEC é acionado em corrente contínua com ajuste manual no XL4015; a malha automática do TEC ainda requer um driver e filtro dimensionados para o laser.</x:v>
      </x:c>
      <x:c r="J31" s="7" t="str">
        <x:v>Compra inicial: a ponte H (03) está excluída. O TEC é acionado em corrente contínua com ajuste manual no XL4015; a malha automática do TEC ainda requer um driver e filtro dimensionados para o laser.</x:v>
      </x:c>
      <x:c r="K31" s="7" t="str">
        <x:v>Compra inicial: a ponte H (03) está excluída. O TEC é acionado em corrente contínua com ajuste manual no XL4015; a malha automática do TEC ainda requer um driver e filtro dimensionados para o laser.</x:v>
      </x:c>
      <x:c r="L31" s="7" t="str">
        <x:v>Compra inicial: a ponte H (03) está excluída. O TEC é acionado em corrente contínua com ajuste manual no XL4015; a malha automática do TEC ainda requer um driver e filtro dimensionados para o laser.</x:v>
      </x:c>
      <x:c r="M31" s="7" t="str">
        <x:v>Compra inicial: a ponte H (03) está excluída. O TEC é acionado em corrente contínua com ajuste manual no XL4015; a malha automática do TEC ainda requer um driver e filtro dimensionados para o laser.</x:v>
      </x:c>
    </x:row>
    <x:row r="32" ht="30" customHeight="1">
      <x:c r="A32" s="6" t="str">
        <x:v>Como comparar: cada linha usa apenas uma oferta. A quantidade de lotes é arredondada para cima. Exemplo: 6 diodos necessários e pacote de 10 → comprar 1 pacote. Não somar os três fornecedores.</x:v>
      </x:c>
      <x:c r="B32" s="6" t="str">
        <x:v>Como comparar: cada linha usa apenas uma oferta. A quantidade de lotes é arredondada para cima. Exemplo: 6 diodos necessários e pacote de 10 → comprar 1 pacote. Não somar os três fornecedores.</x:v>
      </x:c>
      <x:c r="C32" s="6" t="str">
        <x:v>Como comparar: cada linha usa apenas uma oferta. A quantidade de lotes é arredondada para cima. Exemplo: 6 diodos necessários e pacote de 10 → comprar 1 pacote. Não somar os três fornecedores.</x:v>
      </x:c>
      <x:c r="D32" s="6" t="str">
        <x:v>Como comparar: cada linha usa apenas uma oferta. A quantidade de lotes é arredondada para cima. Exemplo: 6 diodos necessários e pacote de 10 → comprar 1 pacote. Não somar os três fornecedores.</x:v>
      </x:c>
      <x:c r="E32" s="6" t="str">
        <x:v>Como comparar: cada linha usa apenas uma oferta. A quantidade de lotes é arredondada para cima. Exemplo: 6 diodos necessários e pacote de 10 → comprar 1 pacote. Não somar os três fornecedores.</x:v>
      </x:c>
      <x:c r="F32" s="6" t="str">
        <x:v>Como comparar: cada linha usa apenas uma oferta. A quantidade de lotes é arredondada para cima. Exemplo: 6 diodos necessários e pacote de 10 → comprar 1 pacote. Não somar os três fornecedores.</x:v>
      </x:c>
      <x:c r="G32" s="6" t="str">
        <x:v>Como comparar: cada linha usa apenas uma oferta. A quantidade de lotes é arredondada para cima. Exemplo: 6 diodos necessários e pacote de 10 → comprar 1 pacote. Não somar os três fornecedores.</x:v>
      </x:c>
      <x:c r="H32" s="6" t="str">
        <x:v>Como comparar: cada linha usa apenas uma oferta. A quantidade de lotes é arredondada para cima. Exemplo: 6 diodos necessários e pacote de 10 → comprar 1 pacote. Não somar os três fornecedores.</x:v>
      </x:c>
      <x:c r="I32" s="6" t="str">
        <x:v>Como comparar: cada linha usa apenas uma oferta. A quantidade de lotes é arredondada para cima. Exemplo: 6 diodos necessários e pacote de 10 → comprar 1 pacote. Não somar os três fornecedores.</x:v>
      </x:c>
      <x:c r="J32" s="6" t="str">
        <x:v>Como comparar: cada linha usa apenas uma oferta. A quantidade de lotes é arredondada para cima. Exemplo: 6 diodos necessários e pacote de 10 → comprar 1 pacote. Não somar os três fornecedores.</x:v>
      </x:c>
      <x:c r="K32" s="6" t="str">
        <x:v>Como comparar: cada linha usa apenas uma oferta. A quantidade de lotes é arredondada para cima. Exemplo: 6 diodos necessários e pacote de 10 → comprar 1 pacote. Não somar os três fornecedores.</x:v>
      </x:c>
      <x:c r="L32" s="6" t="str">
        <x:v>Como comparar: cada linha usa apenas uma oferta. A quantidade de lotes é arredondada para cima. Exemplo: 6 diodos necessários e pacote de 10 → comprar 1 pacote. Não somar os três fornecedores.</x:v>
      </x:c>
      <x:c r="M32" s="6" t="str">
        <x:v>Como comparar: cada linha usa apenas uma oferta. A quantidade de lotes é arredondada para cima. Exemplo: 6 diodos necessários e pacote de 10 → comprar 1 pacote. Não somar os três fornecedores.</x:v>
      </x:c>
    </x:row>
    <x:row r="33" ht="22.5" customHeight="1">
      <x:c r="A33" s="13" t="str">
        <x:v>Aba Uso e critérios: sequência dos ensaios, alimentação, distinção entre carga elétrica e térmica, limites do conjunto proposto e fontes técnicas.</x:v>
      </x:c>
      <x:c r="B33" s="13" t="str">
        <x:v>Aba Uso e critérios: sequência dos ensaios, alimentação, distinção entre carga elétrica e térmica, limites do conjunto proposto e fontes técnicas.</x:v>
      </x:c>
      <x:c r="C33" s="13" t="str">
        <x:v>Aba Uso e critérios: sequência dos ensaios, alimentação, distinção entre carga elétrica e térmica, limites do conjunto proposto e fontes técnicas.</x:v>
      </x:c>
      <x:c r="D33" s="13" t="str">
        <x:v>Aba Uso e critérios: sequência dos ensaios, alimentação, distinção entre carga elétrica e térmica, limites do conjunto proposto e fontes técnicas.</x:v>
      </x:c>
      <x:c r="E33" s="13" t="str">
        <x:v>Aba Uso e critérios: sequência dos ensaios, alimentação, distinção entre carga elétrica e térmica, limites do conjunto proposto e fontes técnicas.</x:v>
      </x:c>
      <x:c r="F33" s="13" t="str">
        <x:v>Aba Uso e critérios: sequência dos ensaios, alimentação, distinção entre carga elétrica e térmica, limites do conjunto proposto e fontes técnicas.</x:v>
      </x:c>
      <x:c r="G33" s="13" t="str">
        <x:v>Aba Uso e critérios: sequência dos ensaios, alimentação, distinção entre carga elétrica e térmica, limites do conjunto proposto e fontes técnicas.</x:v>
      </x:c>
      <x:c r="H33" s="13" t="str">
        <x:v>Aba Uso e critérios: sequência dos ensaios, alimentação, distinção entre carga elétrica e térmica, limites do conjunto proposto e fontes técnicas.</x:v>
      </x:c>
      <x:c r="I33" s="13" t="str">
        <x:v>Aba Uso e critérios: sequência dos ensaios, alimentação, distinção entre carga elétrica e térmica, limites do conjunto proposto e fontes técnicas.</x:v>
      </x:c>
      <x:c r="J33" s="13" t="str">
        <x:v>Aba Uso e critérios: sequência dos ensaios, alimentação, distinção entre carga elétrica e térmica, limites do conjunto proposto e fontes técnicas.</x:v>
      </x:c>
      <x:c r="K33" s="13" t="str">
        <x:v>Aba Uso e critérios: sequência dos ensaios, alimentação, distinção entre carga elétrica e térmica, limites do conjunto proposto e fontes técnicas.</x:v>
      </x:c>
      <x:c r="L33" s="13" t="str">
        <x:v>Aba Uso e critérios: sequência dos ensaios, alimentação, distinção entre carga elétrica e térmica, limites do conjunto proposto e fontes técnicas.</x:v>
      </x:c>
      <x:c r="M33" s="13" t="str">
        <x:v>Aba Uso e critérios: sequência dos ensaios, alimentação, distinção entre carga elétrica e térmica, limites do conjunto proposto e fontes técnicas.</x:v>
      </x:c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</x:sheetData>
  <x:mergeCells>
    <x:mergeCell ref="A2:M2"/>
    <x:mergeCell ref="A3:M3"/>
    <x:mergeCell ref="A4:M4"/>
    <x:mergeCell ref="A5:M5"/>
    <x:mergeCell ref="A6:C6"/>
    <x:mergeCell ref="D6:F6"/>
    <x:mergeCell ref="G6:I6"/>
    <x:mergeCell ref="K6:M6"/>
    <x:mergeCell ref="A7:M7"/>
    <x:mergeCell ref="A31:M31"/>
    <x:mergeCell ref="A32:M32"/>
    <x:mergeCell ref="A33:M33"/>
  </x:mergeCells>
  <x:conditionalFormatting sqref="H10:I29">
    <x:cfRule type="expression" dxfId="1" priority="1">
      <x:formula>AND($C10&gt;0,$H10="")</x:formula>
    </x:cfRule>
  </x:conditionalFormatting>
  <x:dataValidations count="2">
    <x:dataValidation type="list" sqref="E10:E29">
      <x:formula1>"1,2,3"</x:formula1>
    </x:dataValidation>
    <x:dataValidation type="whole" operator="between" sqref="C10:C29">
      <x:formula1>0</x:formula1>
      <x:formula2>9999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5676e882d2a42ea"/>
  </x:tableParts>
</x:worksheet>
</file>

<file path=xl/worksheets/sheet2.xml><?xml version="1.0" encoding="utf-8"?>
<x:worksheet xmlns:x="http://schemas.openxmlformats.org/spreadsheetml/2006/main">
  <x:sheetPr>
    <x:tabColor rgb="FF16324F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6.440000057220459" hidden="0" customWidth="1"/>
    <x:col min="2" max="2" width="5" hidden="0" customWidth="1"/>
    <x:col min="3" max="3" width="6.440000057220459" hidden="0" customWidth="1"/>
    <x:col min="4" max="4" width="17" hidden="0" customWidth="1"/>
    <x:col min="5" max="5" width="31.110000610351562" hidden="0" customWidth="1"/>
    <x:col min="6" max="6" width="7.21999979019165" hidden="0" customWidth="1"/>
    <x:col min="7" max="7" width="11.329999923706055" hidden="0" customWidth="1"/>
    <x:col min="8" max="8" width="16.329999923706055" hidden="0" customWidth="1"/>
    <x:col min="9" max="9" width="20.559999465942383" hidden="0" customWidth="1"/>
    <x:col min="10" max="10" width="42.779998779296875" hidden="0" customWidth="1"/>
    <x:col min="11" max="11" width="38.33000183105469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.5" customHeight="1">
      <x:c r="A2" s="4" t="str">
        <x:v>Cotações e links de origem</x:v>
      </x:c>
      <x:c r="B2" s="4" t="str">
        <x:v>Cotações e links de origem</x:v>
      </x:c>
      <x:c r="C2" s="4" t="str">
        <x:v>Cotações e links de origem</x:v>
      </x:c>
      <x:c r="D2" s="4" t="str">
        <x:v>Cotações e links de origem</x:v>
      </x:c>
      <x:c r="E2" s="4" t="str">
        <x:v>Cotações e links de origem</x:v>
      </x:c>
      <x:c r="F2" s="4" t="str">
        <x:v>Cotações e links de origem</x:v>
      </x:c>
      <x:c r="G2" s="4" t="str">
        <x:v>Cotações e links de origem</x:v>
      </x:c>
      <x:c r="H2" s="4" t="str">
        <x:v>Cotações e links de origem</x:v>
      </x:c>
      <x:c r="I2" s="4" t="str">
        <x:v>Cotações e links de origem</x:v>
      </x:c>
      <x:c r="J2" s="4" t="str">
        <x:v>Cotações e links de origem</x:v>
      </x:c>
      <x:c r="K2" s="4" t="str">
        <x:v>Cotações e links de origem</x:v>
      </x:c>
    </x:row>
    <x:row r="3" ht="22.5" customHeight="1">
      <x:c r="A3" s="5" t="str">
        <x:v>Três links de produto por item. As embalagens, formas físicas e condições comerciais podem variar. Pesquisa consultada em 22/10/2026.</x:v>
      </x:c>
      <x:c r="B3" s="5" t="str">
        <x:v>Três links de produto por item. As embalagens, formas físicas e condições comerciais podem variar. Pesquisa consultada em 22/10/2026.</x:v>
      </x:c>
      <x:c r="C3" s="5" t="str">
        <x:v>Três links de produto por item. As embalagens, formas físicas e condições comerciais podem variar. Pesquisa consultada em 22/10/2026.</x:v>
      </x:c>
      <x:c r="D3" s="5" t="str">
        <x:v>Três links de produto por item. As embalagens, formas físicas e condições comerciais podem variar. Pesquisa consultada em 22/10/2026.</x:v>
      </x:c>
      <x:c r="E3" s="5" t="str">
        <x:v>Três links de produto por item. As embalagens, formas físicas e condições comerciais podem variar. Pesquisa consultada em 22/10/2026.</x:v>
      </x:c>
      <x:c r="F3" s="5" t="str">
        <x:v>Três links de produto por item. As embalagens, formas físicas e condições comerciais podem variar. Pesquisa consultada em 22/10/2026.</x:v>
      </x:c>
      <x:c r="G3" s="5" t="str">
        <x:v>Três links de produto por item. As embalagens, formas físicas e condições comerciais podem variar. Pesquisa consultada em 22/10/2026.</x:v>
      </x:c>
      <x:c r="H3" s="5" t="str">
        <x:v>Três links de produto por item. As embalagens, formas físicas e condições comerciais podem variar. Pesquisa consultada em 22/10/2026.</x:v>
      </x:c>
      <x:c r="I3" s="5" t="str">
        <x:v>Três links de produto por item. As embalagens, formas físicas e condições comerciais podem variar. Pesquisa consultada em 22/10/2026.</x:v>
      </x:c>
      <x:c r="J3" s="5" t="str">
        <x:v>Três links de produto por item. As embalagens, formas físicas e condições comerciais podem variar. Pesquisa consultada em 22/10/2026.</x:v>
      </x:c>
      <x:c r="K3" s="5" t="str">
        <x:v>Três links de produto por item. As embalagens, formas físicas e condições comerciais podem variar. Pesquisa consultada em 22/10/2026.</x:v>
      </x:c>
    </x:row>
    <x:row r="4" ht="30" customHeight="1">
      <x:c r="A4" s="6" t="str">
        <x:v>Preços em reais, sem frete e sem desconto Pix no cálculo. Atualize preço e quantidade do lote somente após conferir a opção escolhida. Ofertas indisponíveis foram identificadas; não são recomendadas para compra imediata.</x:v>
      </x:c>
      <x:c r="B4" s="6" t="str">
        <x:v>Preços em reais, sem frete e sem desconto Pix no cálculo. Atualize preço e quantidade do lote somente após conferir a opção escolhida. Ofertas indisponíveis foram identificadas; não são recomendadas para compra imediata.</x:v>
      </x:c>
      <x:c r="C4" s="6" t="str">
        <x:v>Preços em reais, sem frete e sem desconto Pix no cálculo. Atualize preço e quantidade do lote somente após conferir a opção escolhida. Ofertas indisponíveis foram identificadas; não são recomendadas para compra imediata.</x:v>
      </x:c>
      <x:c r="D4" s="6" t="str">
        <x:v>Preços em reais, sem frete e sem desconto Pix no cálculo. Atualize preço e quantidade do lote somente após conferir a opção escolhida. Ofertas indisponíveis foram identificadas; não são recomendadas para compra imediata.</x:v>
      </x:c>
      <x:c r="E4" s="6" t="str">
        <x:v>Preços em reais, sem frete e sem desconto Pix no cálculo. Atualize preço e quantidade do lote somente após conferir a opção escolhida. Ofertas indisponíveis foram identificadas; não são recomendadas para compra imediata.</x:v>
      </x:c>
      <x:c r="F4" s="6" t="str">
        <x:v>Preços em reais, sem frete e sem desconto Pix no cálculo. Atualize preço e quantidade do lote somente após conferir a opção escolhida. Ofertas indisponíveis foram identificadas; não são recomendadas para compra imediata.</x:v>
      </x:c>
      <x:c r="G4" s="6" t="str">
        <x:v>Preços em reais, sem frete e sem desconto Pix no cálculo. Atualize preço e quantidade do lote somente após conferir a opção escolhida. Ofertas indisponíveis foram identificadas; não são recomendadas para compra imediata.</x:v>
      </x:c>
      <x:c r="H4" s="6" t="str">
        <x:v>Preços em reais, sem frete e sem desconto Pix no cálculo. Atualize preço e quantidade do lote somente após conferir a opção escolhida. Ofertas indisponíveis foram identificadas; não são recomendadas para compra imediata.</x:v>
      </x:c>
      <x:c r="I4" s="6" t="str">
        <x:v>Preços em reais, sem frete e sem desconto Pix no cálculo. Atualize preço e quantidade do lote somente após conferir a opção escolhida. Ofertas indisponíveis foram identificadas; não são recomendadas para compra imediata.</x:v>
      </x:c>
      <x:c r="J4" s="6" t="str">
        <x:v>Preços em reais, sem frete e sem desconto Pix no cálculo. Atualize preço e quantidade do lote somente após conferir a opção escolhida. Ofertas indisponíveis foram identificadas; não são recomendadas para compra imediata.</x:v>
      </x:c>
      <x:c r="K4" s="6" t="str">
        <x:v>Preços em reais, sem frete e sem desconto Pix no cálculo. Atualize preço e quantidade do lote somente após conferir a opção escolhida. Ofertas indisponíveis foram identificadas; não são recomendadas para compra imediata.</x:v>
      </x:c>
    </x:row>
    <x:row r="5" ht="30" customHeight="1">
      <x:c r="A5" s="6" t="str">
        <x:v>“A confirmar” indica que a disponibilidade não foi comprovada. Uma página localizada pelo buscador não comprova estoque. Na lista principal, a opção 1 é a referência de orçamento, não uma garantia de menor preço.</x:v>
      </x:c>
      <x:c r="B5" s="6" t="str">
        <x:v>“A confirmar” indica que a disponibilidade não foi comprovada. Uma página localizada pelo buscador não comprova estoque. Na lista principal, a opção 1 é a referência de orçamento, não uma garantia de menor preço.</x:v>
      </x:c>
      <x:c r="C5" s="6" t="str">
        <x:v>“A confirmar” indica que a disponibilidade não foi comprovada. Uma página localizada pelo buscador não comprova estoque. Na lista principal, a opção 1 é a referência de orçamento, não uma garantia de menor preço.</x:v>
      </x:c>
      <x:c r="D5" s="6" t="str">
        <x:v>“A confirmar” indica que a disponibilidade não foi comprovada. Uma página localizada pelo buscador não comprova estoque. Na lista principal, a opção 1 é a referência de orçamento, não uma garantia de menor preço.</x:v>
      </x:c>
      <x:c r="E5" s="6" t="str">
        <x:v>“A confirmar” indica que a disponibilidade não foi comprovada. Uma página localizada pelo buscador não comprova estoque. Na lista principal, a opção 1 é a referência de orçamento, não uma garantia de menor preço.</x:v>
      </x:c>
      <x:c r="F5" s="6" t="str">
        <x:v>“A confirmar” indica que a disponibilidade não foi comprovada. Uma página localizada pelo buscador não comprova estoque. Na lista principal, a opção 1 é a referência de orçamento, não uma garantia de menor preço.</x:v>
      </x:c>
      <x:c r="G5" s="6" t="str">
        <x:v>“A confirmar” indica que a disponibilidade não foi comprovada. Uma página localizada pelo buscador não comprova estoque. Na lista principal, a opção 1 é a referência de orçamento, não uma garantia de menor preço.</x:v>
      </x:c>
      <x:c r="H5" s="6" t="str">
        <x:v>“A confirmar” indica que a disponibilidade não foi comprovada. Uma página localizada pelo buscador não comprova estoque. Na lista principal, a opção 1 é a referência de orçamento, não uma garantia de menor preço.</x:v>
      </x:c>
      <x:c r="I5" s="6" t="str">
        <x:v>“A confirmar” indica que a disponibilidade não foi comprovada. Uma página localizada pelo buscador não comprova estoque. Na lista principal, a opção 1 é a referência de orçamento, não uma garantia de menor preço.</x:v>
      </x:c>
      <x:c r="J5" s="6" t="str">
        <x:v>“A confirmar” indica que a disponibilidade não foi comprovada. Uma página localizada pelo buscador não comprova estoque. Na lista principal, a opção 1 é a referência de orçamento, não uma garantia de menor preço.</x:v>
      </x:c>
      <x:c r="K5" s="6" t="str">
        <x:v>“A confirmar” indica que a disponibilidade não foi comprovada. Uma página localizada pelo buscador não comprova estoque. Na lista principal, a opção 1 é a referência de orçamento, não uma garantia de menor preço.</x:v>
      </x:c>
    </x:row>
    <x:row r="6" ht="9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34.5" customHeight="1">
      <x:c r="A7" s="21" t="str">
        <x:v>Chave</x:v>
      </x:c>
      <x:c r="B7" s="21" t="str">
        <x:v>ID</x:v>
      </x:c>
      <x:c r="C7" s="21" t="str">
        <x:v>Opção</x:v>
      </x:c>
      <x:c r="D7" s="21" t="str">
        <x:v>Fornecedor / canal</x:v>
      </x:c>
      <x:c r="E7" s="21" t="str">
        <x:v>Produto e embalagem</x:v>
      </x:c>
      <x:c r="F7" s="21" t="str">
        <x:v>Unidades / lote</x:v>
      </x:c>
      <x:c r="G7" s="21" t="str">
        <x:v>Preço / lote (R$)</x:v>
      </x:c>
      <x:c r="H7" s="21" t="str">
        <x:v>Condição do preço</x:v>
      </x:c>
      <x:c r="I7" s="21" t="str">
        <x:v>Disponibilidade observada</x:v>
      </x:c>
      <x:c r="J7" s="21" t="str">
        <x:v>URL de origem</x:v>
      </x:c>
      <x:c r="K7" s="21" t="str">
        <x:v>Observação da oferta</x:v>
      </x:c>
    </x:row>
    <x:row r="8" ht="73.5" customHeight="1">
      <x:c r="A8" s="22" t="str">
        <x:v>01-1</x:v>
      </x:c>
      <x:c r="B8" s="22" t="str">
        <x:v>01</x:v>
      </x:c>
      <x:c r="C8" s="22" t="n">
        <x:v>1</x:v>
      </x:c>
      <x:c r="D8" s="22" t="str">
        <x:v>RoboBuilders</x:v>
      </x:c>
      <x:c r="E8" s="22" t="str">
        <x:v>1 placa Pico / RP2040</x:v>
      </x:c>
      <x:c r="F8" s="23" t="n">
        <x:v>1</x:v>
      </x:c>
      <x:c r="G8" s="24" t="n">
        <x:v>75.86</x:v>
      </x:c>
      <x:c r="H8" s="22" t="str">
        <x:v>Preço normal anunciado</x:v>
      </x:c>
      <x:c r="I8" s="22" t="str">
        <x:v>Disponível na página</x:v>
      </x:c>
      <x:c r="J8" s="25" t="str">
        <x:v>https://www.robobuilders.com.br/placa-raspberry-pi-pico-rp2040-arm-cortex-133mhz-256kb</x:v>
      </x:c>
      <x:c r="K8" s="22" t="str">
        <x:v>Preço normal. Descrição da loja contém erros de memória; usar documentação oficial para especificações.</x:v>
      </x:c>
    </x:row>
    <x:row r="9" ht="73.5" customHeight="1">
      <x:c r="A9" s="22" t="str">
        <x:v>01-2</x:v>
      </x:c>
      <x:c r="B9" s="22" t="str">
        <x:v>01</x:v>
      </x:c>
      <x:c r="C9" s="22" t="n">
        <x:v>2</x:v>
      </x:c>
      <x:c r="D9" s="22" t="str">
        <x:v>Usinainfo</x:v>
      </x:c>
      <x:c r="E9" s="22" t="str">
        <x:v>1 placa Pico / RP2040</x:v>
      </x:c>
      <x:c r="F9" s="23" t="n">
        <x:v>1</x:v>
      </x:c>
      <x:c r="G9" s="24" t="n">
        <x:v>76.4</x:v>
      </x:c>
      <x:c r="H9" s="22" t="str">
        <x:v>Preço normal anunciado</x:v>
      </x:c>
      <x:c r="I9" s="22" t="str">
        <x:v>Indisponível na página</x:v>
      </x:c>
      <x:c r="J9" s="25" t="str">
        <x:v>https://www.usinainfo.com.br/placa-raspberry-pi/raspberry-pi-pico-rp2040-com-micro-usb-8372.html</x:v>
      </x:c>
      <x:c r="K9" s="22" t="str">
        <x:v>Preço normal exibido; página oferece aviso de reposição.</x:v>
      </x:c>
    </x:row>
    <x:row r="10" ht="73.5" customHeight="1">
      <x:c r="A10" s="22" t="str">
        <x:v>01-3</x:v>
      </x:c>
      <x:c r="B10" s="22" t="str">
        <x:v>01</x:v>
      </x:c>
      <x:c r="C10" s="22" t="n">
        <x:v>3</x:v>
      </x:c>
      <x:c r="D10" s="22" t="str">
        <x:v>Proesi</x:v>
      </x:c>
      <x:c r="E10" s="22" t="str">
        <x:v>1 placa Pico / RP2040</x:v>
      </x:c>
      <x:c r="F10" s="23" t="n">
        <x:v>1</x:v>
      </x:c>
      <x:c r="G10" s="24"/>
      <x:c r="H10" s="22" t="str">
        <x:v>Não confirmado</x:v>
      </x:c>
      <x:c r="I10" s="22" t="str">
        <x:v>A confirmar</x:v>
      </x:c>
      <x:c r="J10" s="25" t="str">
        <x:v>https://www.proesi.com.br/raspberry-pi-pico-rp2040-2mb-original</x:v>
      </x:c>
      <x:c r="K10" s="22" t="str">
        <x:v>Produto localizado na pesquisa; acesso direto bloqueado (403).</x:v>
      </x:c>
    </x:row>
    <x:row r="11" ht="73.5" customHeight="1">
      <x:c r="A11" s="22" t="str">
        <x:v>02-1</x:v>
      </x:c>
      <x:c r="B11" s="22" t="str">
        <x:v>02</x:v>
      </x:c>
      <x:c r="C11" s="22" t="n">
        <x:v>1</x:v>
      </x:c>
      <x:c r="D11" s="22" t="str">
        <x:v>Dissipatec</x:v>
      </x:c>
      <x:c r="E11" s="22" t="str">
        <x:v>1 conjunto; TEC1-12706; cooler duplo; 12 V</x:v>
      </x:c>
      <x:c r="F11" s="23" t="n">
        <x:v>1</x:v>
      </x:c>
      <x:c r="G11" s="24" t="n">
        <x:v>102.9</x:v>
      </x:c>
      <x:c r="H11" s="22" t="str">
        <x:v>Preço normal anunciado</x:v>
      </x:c>
      <x:c r="I11" s="22" t="str">
        <x:v>Disponível em 2 dias úteis</x:v>
      </x:c>
      <x:c r="J11" s="25" t="str">
        <x:v>https://www.dissipatec.com.br/dissipadores-termoeletrico/dissipadores-termoeletrico/dissipador-termoeletrico-cooler-duplo-peltier-12v</x:v>
      </x:c>
      <x:c r="K11" s="22" t="str">
        <x:v>Preço normal anunciado. Modelo DT104 P; capacidade térmica depende da montagem.</x:v>
      </x:c>
    </x:row>
    <x:row r="12" ht="73.5" customHeight="1">
      <x:c r="A12" s="22" t="str">
        <x:v>02-2</x:v>
      </x:c>
      <x:c r="B12" s="22" t="str">
        <x:v>02</x:v>
      </x:c>
      <x:c r="C12" s="22" t="n">
        <x:v>2</x:v>
      </x:c>
      <x:c r="D12" s="22" t="str">
        <x:v>TDTEC</x:v>
      </x:c>
      <x:c r="E12" s="22" t="str">
        <x:v>1 conjunto; TEC12706; dissipador; fan 80 mm; pasta e fixadores</x:v>
      </x:c>
      <x:c r="F12" s="23" t="n">
        <x:v>1</x:v>
      </x:c>
      <x:c r="G12" s="24"/>
      <x:c r="H12" s="22" t="str">
        <x:v>Não confirmado</x:v>
      </x:c>
      <x:c r="I12" s="22" t="str">
        <x:v>Indisponível na página</x:v>
      </x:c>
      <x:c r="J12" s="25" t="str">
        <x:v>https://www.tdtec.com.br/eletronicos/kit-refrigeracao-12v-peltier-12706-dissipador-cooler</x:v>
      </x:c>
      <x:c r="K12" s="22" t="str">
        <x:v>Kit com uma ventoinha; geometria diferente da opção 1.</x:v>
      </x:c>
    </x:row>
    <x:row r="13" ht="73.5" customHeight="1">
      <x:c r="A13" s="22" t="str">
        <x:v>02-3</x:v>
      </x:c>
      <x:c r="B13" s="22" t="str">
        <x:v>02</x:v>
      </x:c>
      <x:c r="C13" s="22" t="n">
        <x:v>3</x:v>
      </x:c>
      <x:c r="D13" s="22" t="str">
        <x:v>Shopee / Dissipatec</x:v>
      </x:c>
      <x:c r="E13" s="22" t="str">
        <x:v>1 kit; TEC12706 + dissipador + cooler</x:v>
      </x:c>
      <x:c r="F13" s="23" t="n">
        <x:v>1</x:v>
      </x:c>
      <x:c r="G13" s="24" t="n">
        <x:v>154</x:v>
      </x:c>
      <x:c r="H13" s="22" t="str">
        <x:v>Preço normal anunciado</x:v>
      </x:c>
      <x:c r="I13" s="22" t="str">
        <x:v>A confirmar</x:v>
      </x:c>
      <x:c r="J13" s="25" t="str">
        <x:v>https://shopee.com.br/Kit-Refrigera%C3%A7%C3%A3o-12v-Peltier-12706-Dissipador-Cooler-i.369065757.18761286023</x:v>
      </x:c>
      <x:c r="K13" s="22" t="str">
        <x:v>Preço normal; Pix exibido R$ 146,30. Mesmo vendedor da opção 1, em outro canal; kit pode diferir.</x:v>
      </x:c>
    </x:row>
    <x:row r="14" ht="73.5" customHeight="1">
      <x:c r="A14" s="22" t="str">
        <x:v>03-1</x:v>
      </x:c>
      <x:c r="B14" s="22" t="str">
        <x:v>03</x:v>
      </x:c>
      <x:c r="C14" s="22" t="n">
        <x:v>1</x:v>
      </x:c>
      <x:c r="D14" s="22" t="str">
        <x:v>Casa da Robótica</x:v>
      </x:c>
      <x:c r="E14" s="22" t="str">
        <x:v>1 módulo BTS7960 / IBT-2</x:v>
      </x:c>
      <x:c r="F14" s="23" t="n">
        <x:v>1</x:v>
      </x:c>
      <x:c r="G14" s="24" t="n">
        <x:v>44.99</x:v>
      </x:c>
      <x:c r="H14" s="22" t="str">
        <x:v>Preço normal anunciado</x:v>
      </x:c>
      <x:c r="I14" s="22" t="str">
        <x:v>Disponível na página</x:v>
      </x:c>
      <x:c r="J14" s="25" t="str">
        <x:v>https://www.casadarobotica.com/sensores-modulos/modulos/outros/modulo-driver-ponte-h-43a-bts7960</x:v>
      </x:c>
      <x:c r="K14" s="22" t="str">
        <x:v>Anúncio refere-se a driver de motor. Corrente comercial de 43 A não é corrente contínua garantida da montagem.</x:v>
      </x:c>
    </x:row>
    <x:row r="15" ht="73.5" customHeight="1">
      <x:c r="A15" s="22" t="str">
        <x:v>03-2</x:v>
      </x:c>
      <x:c r="B15" s="22" t="str">
        <x:v>03</x:v>
      </x:c>
      <x:c r="C15" s="22" t="n">
        <x:v>2</x:v>
      </x:c>
      <x:c r="D15" s="22" t="str">
        <x:v>Vida de Silício</x:v>
      </x:c>
      <x:c r="E15" s="22" t="str">
        <x:v>1 módulo BTS7960</x:v>
      </x:c>
      <x:c r="F15" s="23" t="n">
        <x:v>1</x:v>
      </x:c>
      <x:c r="G15" s="24" t="n">
        <x:v>39.9</x:v>
      </x:c>
      <x:c r="H15" s="22" t="str">
        <x:v>Preço normal anunciado</x:v>
      </x:c>
      <x:c r="I15" s="22" t="str">
        <x:v>Indisponível na página</x:v>
      </x:c>
      <x:c r="J15" s="25" t="str">
        <x:v>https://vidadesilicio.com.br/produto/modulo-driver-ponte-h-bts7960-43a/</x:v>
      </x:c>
      <x:c r="K15" s="22" t="str">
        <x:v>Preço anunciado; fora de estoque.</x:v>
      </x:c>
    </x:row>
    <x:row r="16" ht="73.5" customHeight="1">
      <x:c r="A16" s="22" t="str">
        <x:v>03-3</x:v>
      </x:c>
      <x:c r="B16" s="22" t="str">
        <x:v>03</x:v>
      </x:c>
      <x:c r="C16" s="22" t="n">
        <x:v>3</x:v>
      </x:c>
      <x:c r="D16" s="22" t="str">
        <x:v>Saravati</x:v>
      </x:c>
      <x:c r="E16" s="22" t="str">
        <x:v>1 módulo BTS7960</x:v>
      </x:c>
      <x:c r="F16" s="23" t="n">
        <x:v>1</x:v>
      </x:c>
      <x:c r="G16" s="24"/>
      <x:c r="H16" s="22" t="str">
        <x:v>Não confirmado</x:v>
      </x:c>
      <x:c r="I16" s="22" t="str">
        <x:v>A confirmar</x:v>
      </x:c>
      <x:c r="J16" s="25" t="str">
        <x:v>https://www.saravati.com.br/modulo-driver-ponte-h-bts7960.html</x:v>
      </x:c>
      <x:c r="K16" s="22" t="str">
        <x:v>Produto localizado; acesso direto bloqueado (403).</x:v>
      </x:c>
    </x:row>
    <x:row r="17" ht="73.5" customHeight="1">
      <x:c r="A17" s="22" t="str">
        <x:v>04-1</x:v>
      </x:c>
      <x:c r="B17" s="22" t="str">
        <x:v>04</x:v>
      </x:c>
      <x:c r="C17" s="22" t="n">
        <x:v>1</x:v>
      </x:c>
      <x:c r="D17" s="22" t="str">
        <x:v>Malta Suprimentos</x:v>
      </x:c>
      <x:c r="E17" s="22" t="str">
        <x:v>1 sonda inox 5 × 25 mm; 10 kΩ; 1%; STB3950</x:v>
      </x:c>
      <x:c r="F17" s="23" t="n">
        <x:v>1</x:v>
      </x:c>
      <x:c r="G17" s="24" t="n">
        <x:v>25.2</x:v>
      </x:c>
      <x:c r="H17" s="22" t="str">
        <x:v>Preço normal anunciado</x:v>
      </x:c>
      <x:c r="I17" s="22" t="str">
        <x:v>Disponível na página</x:v>
      </x:c>
      <x:c r="J17" s="25" t="str">
        <x:v>https://www.maltasuprimentos.com.br/sensor-de-temperatura-ntc-10k-1-5x25mm-inox-msa-stb3950</x:v>
      </x:c>
      <x:c r="K17" s="22" t="str">
        <x:v>Preço normal; Pix R$ 23,94. Fixação da sonda difere de um sensor de olhal.</x:v>
      </x:c>
    </x:row>
    <x:row r="18" ht="73.5" customHeight="1">
      <x:c r="A18" s="22" t="str">
        <x:v>04-2</x:v>
      </x:c>
      <x:c r="B18" s="22" t="str">
        <x:v>04</x:v>
      </x:c>
      <x:c r="C18" s="22" t="n">
        <x:v>2</x:v>
      </x:c>
      <x:c r="D18" s="22" t="str">
        <x:v>Easytronics</x:v>
      </x:c>
      <x:c r="E18" s="22" t="str">
        <x:v>1 NTC 10 kΩ / B3950; olhal 5 mm</x:v>
      </x:c>
      <x:c r="F18" s="23" t="n">
        <x:v>1</x:v>
      </x:c>
      <x:c r="G18" s="24"/>
      <x:c r="H18" s="22" t="str">
        <x:v>Não confirmado</x:v>
      </x:c>
      <x:c r="I18" s="22" t="str">
        <x:v>A confirmar</x:v>
      </x:c>
      <x:c r="J18" s="25" t="str">
        <x:v>https://www.easytronics.com.br/sensor-de-temperatura-termistor-ntc-10k-b3950-olhal-5mm</x:v>
      </x:c>
      <x:c r="K18" s="22" t="str">
        <x:v>Produto localizado; acesso direto bloqueado (403).</x:v>
      </x:c>
    </x:row>
    <x:row r="19" ht="73.5" customHeight="1">
      <x:c r="A19" s="22" t="str">
        <x:v>04-3</x:v>
      </x:c>
      <x:c r="B19" s="22" t="str">
        <x:v>04</x:v>
      </x:c>
      <x:c r="C19" s="22" t="n">
        <x:v>3</x:v>
      </x:c>
      <x:c r="D19" s="22" t="str">
        <x:v>Liohm</x:v>
      </x:c>
      <x:c r="E19" s="22" t="str">
        <x:v>1 NTC 10 kΩ / B3950; olhal 3 mm; cabo 1,5 m</x:v>
      </x:c>
      <x:c r="F19" s="23" t="n">
        <x:v>1</x:v>
      </x:c>
      <x:c r="G19" s="24" t="n">
        <x:v>45</x:v>
      </x:c>
      <x:c r="H19" s="22" t="str">
        <x:v>Preço normal anunciado</x:v>
      </x:c>
      <x:c r="I19" s="22" t="str">
        <x:v>A confirmar</x:v>
      </x:c>
      <x:c r="J19" s="25" t="str">
        <x:v>https://loja.liohm.com.br/produtos/sensor-ntc-10k-olhal-furo-3-mm-cabo-pp-2x26-awg-1500-mm/</x:v>
      </x:c>
      <x:c r="K19" s="22" t="str">
        <x:v>Preço exibido; disponibilidade não inequívoca no conteúdo consultado.</x:v>
      </x:c>
    </x:row>
    <x:row r="20" ht="73.5" customHeight="1">
      <x:c r="A20" s="22" t="str">
        <x:v>05-1</x:v>
      </x:c>
      <x:c r="B20" s="22" t="str">
        <x:v>05</x:v>
      </x:c>
      <x:c r="C20" s="22" t="n">
        <x:v>1</x:v>
      </x:c>
      <x:c r="D20" s="22" t="str">
        <x:v>A2 Robotics</x:v>
      </x:c>
      <x:c r="E20" s="22" t="str">
        <x:v>1 módulo ADS1115; 4 entradas multiplexadas</x:v>
      </x:c>
      <x:c r="F20" s="23" t="n">
        <x:v>1</x:v>
      </x:c>
      <x:c r="G20" s="24" t="n">
        <x:v>16.2</x:v>
      </x:c>
      <x:c r="H20" s="22" t="str">
        <x:v>Preço normal anunciado</x:v>
      </x:c>
      <x:c r="I20" s="22" t="str">
        <x:v>Disponível na página</x:v>
      </x:c>
      <x:c r="J20" s="25" t="str">
        <x:v>https://www.a2robotics.com.br/modulo-conversor-analogico-adc-ads1115</x:v>
      </x:c>
      <x:c r="K20" s="22" t="str">
        <x:v>Preço normal; Pix R$ 15,39.</x:v>
      </x:c>
    </x:row>
    <x:row r="21" ht="73.5" customHeight="1">
      <x:c r="A21" s="22" t="str">
        <x:v>05-2</x:v>
      </x:c>
      <x:c r="B21" s="22" t="str">
        <x:v>05</x:v>
      </x:c>
      <x:c r="C21" s="22" t="n">
        <x:v>2</x:v>
      </x:c>
      <x:c r="D21" s="22" t="str">
        <x:v>Ardushop</x:v>
      </x:c>
      <x:c r="E21" s="22" t="str">
        <x:v>1 módulo ADS1115</x:v>
      </x:c>
      <x:c r="F21" s="23" t="n">
        <x:v>1</x:v>
      </x:c>
      <x:c r="G21" s="24"/>
      <x:c r="H21" s="22" t="str">
        <x:v>Não confirmado</x:v>
      </x:c>
      <x:c r="I21" s="22" t="str">
        <x:v>A confirmar</x:v>
      </x:c>
      <x:c r="J21" s="25" t="str">
        <x:v>https://www.ardushop.com.br/modulo-conversor-analogico-digital-ads1115-16bits-4-canais</x:v>
      </x:c>
      <x:c r="K21" s="22" t="str">
        <x:v>Página consultada; preço não consolidado.</x:v>
      </x:c>
    </x:row>
    <x:row r="22" ht="73.5" customHeight="1">
      <x:c r="A22" s="22" t="str">
        <x:v>05-3</x:v>
      </x:c>
      <x:c r="B22" s="22" t="str">
        <x:v>05</x:v>
      </x:c>
      <x:c r="C22" s="22" t="n">
        <x:v>3</x:v>
      </x:c>
      <x:c r="D22" s="22" t="str">
        <x:v>Saravati</x:v>
      </x:c>
      <x:c r="E22" s="22" t="str">
        <x:v>1 módulo ADS1115</x:v>
      </x:c>
      <x:c r="F22" s="23" t="n">
        <x:v>1</x:v>
      </x:c>
      <x:c r="G22" s="24"/>
      <x:c r="H22" s="22" t="str">
        <x:v>Não confirmado</x:v>
      </x:c>
      <x:c r="I22" s="22" t="str">
        <x:v>A confirmar</x:v>
      </x:c>
      <x:c r="J22" s="25" t="str">
        <x:v>https://www.saravati.com.br/modulo-conversor-analogico-digital-ads1115.html</x:v>
      </x:c>
      <x:c r="K22" s="22" t="str">
        <x:v>Produto localizado; acesso direto bloqueado (403).</x:v>
      </x:c>
    </x:row>
    <x:row r="23" ht="73.5" customHeight="1">
      <x:c r="A23" s="22" t="str">
        <x:v>06-1</x:v>
      </x:c>
      <x:c r="B23" s="22" t="str">
        <x:v>06</x:v>
      </x:c>
      <x:c r="C23" s="22" t="n">
        <x:v>1</x:v>
      </x:c>
      <x:c r="D23" s="22" t="str">
        <x:v>Smart Kits</x:v>
      </x:c>
      <x:c r="E23" s="22" t="str">
        <x:v>Pacote com 10 resistores; 1/4 W; 1%</x:v>
      </x:c>
      <x:c r="F23" s="23" t="n">
        <x:v>10</x:v>
      </x:c>
      <x:c r="G23" s="24" t="n">
        <x:v>0.9</x:v>
      </x:c>
      <x:c r="H23" s="22" t="str">
        <x:v>Preço normal anunciado</x:v>
      </x:c>
      <x:c r="I23" s="22" t="str">
        <x:v>Compra habilitada na página</x:v>
      </x:c>
      <x:c r="J23" s="25" t="str">
        <x:v>https://www.smartkits.com.br/resistor-10k-14w-1-10-unidades</x:v>
      </x:c>
      <x:c r="K23" s="22" t="str">
        <x:v>Preço do pacote, não de cada resistor.</x:v>
      </x:c>
    </x:row>
    <x:row r="24" ht="73.5" customHeight="1">
      <x:c r="A24" s="22" t="str">
        <x:v>06-2</x:v>
      </x:c>
      <x:c r="B24" s="22" t="str">
        <x:v>06</x:v>
      </x:c>
      <x:c r="C24" s="22" t="n">
        <x:v>2</x:v>
      </x:c>
      <x:c r="D24" s="22" t="str">
        <x:v>Proesi</x:v>
      </x:c>
      <x:c r="E24" s="22" t="str">
        <x:v>1 resistor; 1/4 W; 1%</x:v>
      </x:c>
      <x:c r="F24" s="23" t="n">
        <x:v>1</x:v>
      </x:c>
      <x:c r="G24" s="24"/>
      <x:c r="H24" s="22" t="str">
        <x:v>Não confirmado</x:v>
      </x:c>
      <x:c r="I24" s="22" t="str">
        <x:v>A confirmar</x:v>
      </x:c>
      <x:c r="J24" s="25" t="str">
        <x:v>https://www.proesi.com.br/resistor-precisao-1-1-4w-10k</x:v>
      </x:c>
      <x:c r="K24" s="22" t="str">
        <x:v>Link localizado; preço e estoque não confirmados.</x:v>
      </x:c>
    </x:row>
    <x:row r="25" ht="73.5" customHeight="1">
      <x:c r="A25" s="22" t="str">
        <x:v>06-3</x:v>
      </x:c>
      <x:c r="B25" s="22" t="str">
        <x:v>06</x:v>
      </x:c>
      <x:c r="C25" s="22" t="n">
        <x:v>3</x:v>
      </x:c>
      <x:c r="D25" s="22" t="str">
        <x:v>Achei Componentes</x:v>
      </x:c>
      <x:c r="E25" s="22" t="str">
        <x:v>Pacote com 10 resistores; 0,6 W; 1%</x:v>
      </x:c>
      <x:c r="F25" s="23" t="n">
        <x:v>10</x:v>
      </x:c>
      <x:c r="G25" s="24"/>
      <x:c r="H25" s="22" t="str">
        <x:v>Não confirmado</x:v>
      </x:c>
      <x:c r="I25" s="22" t="str">
        <x:v>A confirmar</x:v>
      </x:c>
      <x:c r="J25" s="25" t="str">
        <x:v>https://www.acheicomponentes.com.br/resistor/kit-10-pecas-resistor-10k-1-0-6w-axial</x:v>
      </x:c>
      <x:c r="K25" s="22" t="str">
        <x:v>Link localizado; preço e estoque não confirmados.</x:v>
      </x:c>
    </x:row>
    <x:row r="26" ht="73.5" customHeight="1">
      <x:c r="A26" s="22" t="str">
        <x:v>07-1</x:v>
      </x:c>
      <x:c r="B26" s="22" t="str">
        <x:v>07</x:v>
      </x:c>
      <x:c r="C26" s="22" t="n">
        <x:v>1</x:v>
      </x:c>
      <x:c r="D26" s="22" t="str">
        <x:v>Achei Componentes</x:v>
      </x:c>
      <x:c r="E26" s="22" t="str">
        <x:v>Pacote com 10 capacitores; disco; marcação 104</x:v>
      </x:c>
      <x:c r="F26" s="23" t="n">
        <x:v>10</x:v>
      </x:c>
      <x:c r="G26" s="24" t="n">
        <x:v>1.9</x:v>
      </x:c>
      <x:c r="H26" s="22" t="str">
        <x:v>Preço normal anunciado</x:v>
      </x:c>
      <x:c r="I26" s="22" t="str">
        <x:v>Disponível na página</x:v>
      </x:c>
      <x:c r="J26" s="25" t="str">
        <x:v>https://www.acheicomponentes.com.br/capacitores/kit-10-pecas-capacitor-ceramico-disco-100nf-100k-50v-104</x:v>
      </x:c>
      <x:c r="K26" s="22" t="str">
        <x:v>Preço do pacote. 100 nF = 0,1 µF.</x:v>
      </x:c>
    </x:row>
    <x:row r="27" ht="73.5" customHeight="1">
      <x:c r="A27" s="22" t="str">
        <x:v>07-2</x:v>
      </x:c>
      <x:c r="B27" s="22" t="str">
        <x:v>07</x:v>
      </x:c>
      <x:c r="C27" s="22" t="n">
        <x:v>2</x:v>
      </x:c>
      <x:c r="D27" s="22" t="str">
        <x:v>Eletrogate</x:v>
      </x:c>
      <x:c r="E27" s="22" t="str">
        <x:v>1 capacitor cerâmico 100 nF / 50 V</x:v>
      </x:c>
      <x:c r="F27" s="23" t="n">
        <x:v>1</x:v>
      </x:c>
      <x:c r="G27" s="24"/>
      <x:c r="H27" s="22" t="str">
        <x:v>Não confirmado</x:v>
      </x:c>
      <x:c r="I27" s="22" t="str">
        <x:v>A confirmar</x:v>
      </x:c>
      <x:c r="J27" s="25" t="str">
        <x:v>https://www.eletrogate.com/capacitor-disco-ceramico-100nf-x-50v</x:v>
      </x:c>
      <x:c r="K27" s="22" t="str">
        <x:v>Página consultada; preço do item não apareceu no conteúdo retornado.</x:v>
      </x:c>
    </x:row>
    <x:row r="28" ht="73.5" customHeight="1">
      <x:c r="A28" s="22" t="str">
        <x:v>07-3</x:v>
      </x:c>
      <x:c r="B28" s="22" t="str">
        <x:v>07</x:v>
      </x:c>
      <x:c r="C28" s="22" t="n">
        <x:v>3</x:v>
      </x:c>
      <x:c r="D28" s="22" t="str">
        <x:v>MakerHero</x:v>
      </x:c>
      <x:c r="E28" s="22" t="str">
        <x:v>1 capacitor cerâmico 100 nF / 50 V</x:v>
      </x:c>
      <x:c r="F28" s="23" t="n">
        <x:v>1</x:v>
      </x:c>
      <x:c r="G28" s="24"/>
      <x:c r="H28" s="22" t="str">
        <x:v>Não confirmado</x:v>
      </x:c>
      <x:c r="I28" s="22" t="str">
        <x:v>A confirmar</x:v>
      </x:c>
      <x:c r="J28" s="25" t="str">
        <x:v>https://www.makerhero.com/produto/capacitor-ceramico-100nf-50v/</x:v>
      </x:c>
      <x:c r="K28" s="22" t="str">
        <x:v>Link localizado; preço e estoque não confirmados.</x:v>
      </x:c>
    </x:row>
    <x:row r="29" ht="73.5" customHeight="1">
      <x:c r="A29" s="22" t="str">
        <x:v>08-1</x:v>
      </x:c>
      <x:c r="B29" s="22" t="str">
        <x:v>08</x:v>
      </x:c>
      <x:c r="C29" s="22" t="n">
        <x:v>1</x:v>
      </x:c>
      <x:c r="D29" s="22" t="str">
        <x:v>Proesi</x:v>
      </x:c>
      <x:c r="E29" s="22" t="str">
        <x:v>1 resistor de porcelana; 10 Ω / 20 W</x:v>
      </x:c>
      <x:c r="F29" s="23" t="n">
        <x:v>1</x:v>
      </x:c>
      <x:c r="G29" s="24"/>
      <x:c r="H29" s="22" t="str">
        <x:v>Não confirmado</x:v>
      </x:c>
      <x:c r="I29" s="22" t="str">
        <x:v>A confirmar</x:v>
      </x:c>
      <x:c r="J29" s="25" t="str">
        <x:v>https://www.proesi.com.br/resistor-de-porcelana-20w-10r</x:v>
      </x:c>
      <x:c r="K29" s="22" t="str">
        <x:v>Especificação confirmada na página; preço não exibido.</x:v>
      </x:c>
    </x:row>
    <x:row r="30" ht="73.5" customHeight="1">
      <x:c r="A30" s="22" t="str">
        <x:v>08-2</x:v>
      </x:c>
      <x:c r="B30" s="22" t="str">
        <x:v>08</x:v>
      </x:c>
      <x:c r="C30" s="22" t="n">
        <x:v>2</x:v>
      </x:c>
      <x:c r="D30" s="22" t="str">
        <x:v>Equitronic</x:v>
      </x:c>
      <x:c r="E30" s="22" t="str">
        <x:v>1 resistor de fio axial; 10 Ω / 20 W; 9 × 53 mm</x:v>
      </x:c>
      <x:c r="F30" s="23" t="n">
        <x:v>1</x:v>
      </x:c>
      <x:c r="G30" s="24"/>
      <x:c r="H30" s="22" t="str">
        <x:v>Não confirmado</x:v>
      </x:c>
      <x:c r="I30" s="22" t="str">
        <x:v>A confirmar</x:v>
      </x:c>
      <x:c r="J30" s="25" t="str">
        <x:v>https://loja.equitronic.com.br/componentes-eletronicos/resistor/10w/resistor-20w-10r-fio-knp-9x53mm</x:v>
      </x:c>
      <x:c r="K30" s="22" t="str">
        <x:v>Formato diferente da opção 1; acesso direto bloqueado (403).</x:v>
      </x:c>
    </x:row>
    <x:row r="31" ht="73.5" customHeight="1">
      <x:c r="A31" s="22" t="str">
        <x:v>08-3</x:v>
      </x:c>
      <x:c r="B31" s="22" t="str">
        <x:v>08</x:v>
      </x:c>
      <x:c r="C31" s="22" t="n">
        <x:v>3</x:v>
      </x:c>
      <x:c r="D31" s="22" t="str">
        <x:v>Mercado Livre</x:v>
      </x:c>
      <x:c r="E31" s="22" t="str">
        <x:v>Pacote com 4 resistores de porcelana; 10 Ω / 20 W</x:v>
      </x:c>
      <x:c r="F31" s="23" t="n">
        <x:v>4</x:v>
      </x:c>
      <x:c r="G31" s="24"/>
      <x:c r="H31" s="22" t="str">
        <x:v>Não confirmado</x:v>
      </x:c>
      <x:c r="I31" s="22" t="str">
        <x:v>A confirmar</x:v>
      </x:c>
      <x:c r="J31" s="25" t="str">
        <x:v>https://www.mercadolivre.com.br/kit-04-resistor-porcelana-20w-10r-5-mr4352/up/MLBU1155701161</x:v>
      </x:c>
      <x:c r="K31" s="22" t="str">
        <x:v>Link localizado; preço e estoque não confirmados.</x:v>
      </x:c>
    </x:row>
    <x:row r="32" ht="73.5" customHeight="1">
      <x:c r="A32" s="22" t="str">
        <x:v>09-1</x:v>
      </x:c>
      <x:c r="B32" s="22" t="str">
        <x:v>09</x:v>
      </x:c>
      <x:c r="C32" s="22" t="n">
        <x:v>1</x:v>
      </x:c>
      <x:c r="D32" s="22" t="str">
        <x:v>Só Tudo</x:v>
      </x:c>
      <x:c r="E32" s="22" t="str">
        <x:v>1 módulo D4184; potência 5–36 V; comando 3,3–20 V</x:v>
      </x:c>
      <x:c r="F32" s="23" t="n">
        <x:v>1</x:v>
      </x:c>
      <x:c r="G32" s="24" t="n">
        <x:v>8.5</x:v>
      </x:c>
      <x:c r="H32" s="22" t="str">
        <x:v>Preço normal anunciado</x:v>
      </x:c>
      <x:c r="I32" s="22" t="str">
        <x:v>Entrega imediata</x:v>
      </x:c>
      <x:c r="J32" s="25" t="str">
        <x:v>https://www.sotudo.com.br/produto/modulo-controlador-pwm-de-alta-potencia-d4184</x:v>
      </x:c>
      <x:c r="K32" s="22" t="str">
        <x:v>Preço anunciado. Dimensionamento proposto para aquecedor de 0,5 A; não usar 30 A/400 W como garantia da placa.</x:v>
      </x:c>
    </x:row>
    <x:row r="33" ht="73.5" customHeight="1">
      <x:c r="A33" s="22" t="str">
        <x:v>09-2</x:v>
      </x:c>
      <x:c r="B33" s="22" t="str">
        <x:v>09</x:v>
      </x:c>
      <x:c r="C33" s="22" t="n">
        <x:v>2</x:v>
      </x:c>
      <x:c r="D33" s="22" t="str">
        <x:v>Curto Circuito</x:v>
      </x:c>
      <x:c r="E33" s="22" t="str">
        <x:v>1 módulo D4184 duplo; lógica 3,3–20 V</x:v>
      </x:c>
      <x:c r="F33" s="23" t="n">
        <x:v>1</x:v>
      </x:c>
      <x:c r="G33" s="24"/>
      <x:c r="H33" s="22" t="str">
        <x:v>Não confirmado</x:v>
      </x:c>
      <x:c r="I33" s="22" t="str">
        <x:v>A confirmar</x:v>
      </x:c>
      <x:c r="J33" s="25" t="str">
        <x:v>https://curtocircuito.com.br/modulo-mosfet-duplo-40v-50a-400w-d4184.html</x:v>
      </x:c>
      <x:c r="K33" s="22" t="str">
        <x:v>Página consultada. Conferir disponibilidade da versão de dois MOSFETs.</x:v>
      </x:c>
    </x:row>
    <x:row r="34" ht="73.5" customHeight="1">
      <x:c r="A34" s="22" t="str">
        <x:v>09-3</x:v>
      </x:c>
      <x:c r="B34" s="22" t="str">
        <x:v>09</x:v>
      </x:c>
      <x:c r="C34" s="22" t="n">
        <x:v>3</x:v>
      </x:c>
      <x:c r="D34" s="22" t="str">
        <x:v>AutoCore Robótica</x:v>
      </x:c>
      <x:c r="E34" s="22" t="str">
        <x:v>1 módulo D4184; lógica 3,3–20 V</x:v>
      </x:c>
      <x:c r="F34" s="23" t="n">
        <x:v>1</x:v>
      </x:c>
      <x:c r="G34" s="24"/>
      <x:c r="H34" s="22" t="str">
        <x:v>Não confirmado</x:v>
      </x:c>
      <x:c r="I34" s="22" t="str">
        <x:v>A confirmar</x:v>
      </x:c>
      <x:c r="J34" s="25" t="str">
        <x:v>https://www.autocorerobotica.com.br/modulo-controlador-pwm-d4184-30a-400w-36v</x:v>
      </x:c>
      <x:c r="K34" s="22" t="str">
        <x:v>Especificação do sinal de comando localizada; preço não consolidado.</x:v>
      </x:c>
    </x:row>
    <x:row r="35" ht="73.5" customHeight="1">
      <x:c r="A35" s="22" t="str">
        <x:v>10-1</x:v>
      </x:c>
      <x:c r="B35" s="22" t="str">
        <x:v>10</x:v>
      </x:c>
      <x:c r="C35" s="22" t="n">
        <x:v>1</x:v>
      </x:c>
      <x:c r="D35" s="22" t="str">
        <x:v>Eletrogate</x:v>
      </x:c>
      <x:c r="E35" s="22" t="str">
        <x:v>Pacote com 10 diodos 1N5408</x:v>
      </x:c>
      <x:c r="F35" s="23" t="n">
        <x:v>10</x:v>
      </x:c>
      <x:c r="G35" s="24" t="n">
        <x:v>7.9</x:v>
      </x:c>
      <x:c r="H35" s="22" t="str">
        <x:v>Preço normal anunciado</x:v>
      </x:c>
      <x:c r="I35" s="22" t="str">
        <x:v>Disponível na página</x:v>
      </x:c>
      <x:c r="J35" s="25" t="str">
        <x:v>https://www.eletrogate.com/diodo-1n5408</x:v>
      </x:c>
      <x:c r="K35" s="22" t="str">
        <x:v>O orçamento inclui um pacote de 10, apesar de a necessidade ser 6.</x:v>
      </x:c>
    </x:row>
    <x:row r="36" ht="73.5" customHeight="1">
      <x:c r="A36" s="22" t="str">
        <x:v>10-2</x:v>
      </x:c>
      <x:c r="B36" s="22" t="str">
        <x:v>10</x:v>
      </x:c>
      <x:c r="C36" s="22" t="n">
        <x:v>2</x:v>
      </x:c>
      <x:c r="D36" s="22" t="str">
        <x:v>Baú da Eletrônica</x:v>
      </x:c>
      <x:c r="E36" s="22" t="str">
        <x:v>1 diodo 1N5408</x:v>
      </x:c>
      <x:c r="F36" s="23" t="n">
        <x:v>1</x:v>
      </x:c>
      <x:c r="G36" s="24"/>
      <x:c r="H36" s="22" t="str">
        <x:v>Não confirmado</x:v>
      </x:c>
      <x:c r="I36" s="22" t="str">
        <x:v>A confirmar</x:v>
      </x:c>
      <x:c r="J36" s="25" t="str">
        <x:v>https://www.baudaeletronica.com.br/produto/diodo-1n5408.html</x:v>
      </x:c>
      <x:c r="K36" s="22" t="str">
        <x:v>Link localizado; preço e estoque não confirmados.</x:v>
      </x:c>
    </x:row>
    <x:row r="37" ht="73.5" customHeight="1">
      <x:c r="A37" s="22" t="str">
        <x:v>10-3</x:v>
      </x:c>
      <x:c r="B37" s="22" t="str">
        <x:v>10</x:v>
      </x:c>
      <x:c r="C37" s="22" t="n">
        <x:v>3</x:v>
      </x:c>
      <x:c r="D37" s="22" t="str">
        <x:v>A2 Robotics</x:v>
      </x:c>
      <x:c r="E37" s="22" t="str">
        <x:v>Pacote com 10 diodos 1N5408</x:v>
      </x:c>
      <x:c r="F37" s="23" t="n">
        <x:v>10</x:v>
      </x:c>
      <x:c r="G37" s="24"/>
      <x:c r="H37" s="22" t="str">
        <x:v>Não confirmado</x:v>
      </x:c>
      <x:c r="I37" s="22" t="str">
        <x:v>A confirmar</x:v>
      </x:c>
      <x:c r="J37" s="25" t="str">
        <x:v>https://www.a2robotics.com.br/diodo-1n5408</x:v>
      </x:c>
      <x:c r="K37" s="22" t="str">
        <x:v>Link localizado; preço e estoque não confirmados.</x:v>
      </x:c>
    </x:row>
    <x:row r="38" ht="73.5" customHeight="1">
      <x:c r="A38" s="22" t="str">
        <x:v>11-1</x:v>
      </x:c>
      <x:c r="B38" s="22" t="str">
        <x:v>11</x:v>
      </x:c>
      <x:c r="C38" s="22" t="n">
        <x:v>1</x:v>
      </x:c>
      <x:c r="D38" s="22" t="str">
        <x:v>Achei Componentes</x:v>
      </x:c>
      <x:c r="E38" s="22" t="str">
        <x:v>1 resistor axial; 1 Ω / 5 W / 5%</x:v>
      </x:c>
      <x:c r="F38" s="23" t="n">
        <x:v>1</x:v>
      </x:c>
      <x:c r="G38" s="24" t="n">
        <x:v>1.76</x:v>
      </x:c>
      <x:c r="H38" s="22" t="str">
        <x:v>Preço normal anunciado</x:v>
      </x:c>
      <x:c r="I38" s="22" t="str">
        <x:v>Disponível na página</x:v>
      </x:c>
      <x:c r="J38" s="25" t="str">
        <x:v>https://www.acheicomponentes.com.br/resistor/resistor-5w/resistor-1r-5w-5-axial</x:v>
      </x:c>
      <x:c r="K38" s="22" t="str">
        <x:v>Preço unitário.</x:v>
      </x:c>
    </x:row>
    <x:row r="39" ht="73.5" customHeight="1">
      <x:c r="A39" s="22" t="str">
        <x:v>11-2</x:v>
      </x:c>
      <x:c r="B39" s="22" t="str">
        <x:v>11</x:v>
      </x:c>
      <x:c r="C39" s="22" t="n">
        <x:v>2</x:v>
      </x:c>
      <x:c r="D39" s="22" t="str">
        <x:v>RS Componentes</x:v>
      </x:c>
      <x:c r="E39" s="22" t="str">
        <x:v>1 resistor de fio; 1 Ω / 5 W / 5%</x:v>
      </x:c>
      <x:c r="F39" s="23" t="n">
        <x:v>1</x:v>
      </x:c>
      <x:c r="G39" s="24"/>
      <x:c r="H39" s="22" t="str">
        <x:v>Não confirmado</x:v>
      </x:c>
      <x:c r="I39" s="22" t="str">
        <x:v>A confirmar</x:v>
      </x:c>
      <x:c r="J39" s="25" t="str">
        <x:v>https://www.rscomponentes.com/resistor-fio-5w-1r-5-knp-fita-acel</x:v>
      </x:c>
      <x:c r="K39" s="22" t="str">
        <x:v>Página consultada; preço não consolidado.</x:v>
      </x:c>
    </x:row>
    <x:row r="40" ht="73.5" customHeight="1">
      <x:c r="A40" s="22" t="str">
        <x:v>11-3</x:v>
      </x:c>
      <x:c r="B40" s="22" t="str">
        <x:v>11</x:v>
      </x:c>
      <x:c r="C40" s="22" t="n">
        <x:v>3</x:v>
      </x:c>
      <x:c r="D40" s="22" t="str">
        <x:v>Intertronix</x:v>
      </x:c>
      <x:c r="E40" s="22" t="str">
        <x:v>1 resistor; 1 Ω / 5 W</x:v>
      </x:c>
      <x:c r="F40" s="23" t="n">
        <x:v>1</x:v>
      </x:c>
      <x:c r="G40" s="24"/>
      <x:c r="H40" s="22" t="str">
        <x:v>Não confirmado</x:v>
      </x:c>
      <x:c r="I40" s="22" t="str">
        <x:v>A confirmar</x:v>
      </x:c>
      <x:c r="J40" s="25" t="str">
        <x:v>https://www.intertronix.com.br/produtos/resistor-1r-5w-mrptdrdr/</x:v>
      </x:c>
      <x:c r="K40" s="22" t="str">
        <x:v>Página consultada; preço não consolidado.</x:v>
      </x:c>
    </x:row>
    <x:row r="41" ht="73.5" customHeight="1">
      <x:c r="A41" s="22" t="str">
        <x:v>12-1</x:v>
      </x:c>
      <x:c r="B41" s="22" t="str">
        <x:v>12</x:v>
      </x:c>
      <x:c r="C41" s="22" t="n">
        <x:v>1</x:v>
      </x:c>
      <x:c r="D41" s="22" t="str">
        <x:v>Casa da Robótica</x:v>
      </x:c>
      <x:c r="E41" s="22" t="str">
        <x:v>1 XL4015 CC/CV com ajustes independentes</x:v>
      </x:c>
      <x:c r="F41" s="23" t="n">
        <x:v>1</x:v>
      </x:c>
      <x:c r="G41" s="24" t="n">
        <x:v>16.99</x:v>
      </x:c>
      <x:c r="H41" s="22" t="str">
        <x:v>Preço normal anunciado</x:v>
      </x:c>
      <x:c r="I41" s="22" t="str">
        <x:v>Disponível na página</x:v>
      </x:c>
      <x:c r="J41" s="25" t="str">
        <x:v>https://www.casadarobotica.com/fonte-e-conversores/fontes/reguladores-de-tensao/regulador-com-ajuste-de-corrente-e-tensao-xl4015-5a-dc-dc</x:v>
      </x:c>
      <x:c r="K41" s="22" t="str">
        <x:v>Preço normal; Pix/à vista R$ 16,14. Não dimensionar operação contínua pela corrente de pico anunciada.</x:v>
      </x:c>
    </x:row>
    <x:row r="42" ht="73.5" customHeight="1">
      <x:c r="A42" s="22" t="str">
        <x:v>12-2</x:v>
      </x:c>
      <x:c r="B42" s="22" t="str">
        <x:v>12</x:v>
      </x:c>
      <x:c r="C42" s="22" t="n">
        <x:v>2</x:v>
      </x:c>
      <x:c r="D42" s="22" t="str">
        <x:v>Usinainfo</x:v>
      </x:c>
      <x:c r="E42" s="22" t="str">
        <x:v>1 XL4015 CC/CV; anúncio indica 0,2–3 A</x:v>
      </x:c>
      <x:c r="F42" s="23" t="n">
        <x:v>1</x:v>
      </x:c>
      <x:c r="G42" s="24"/>
      <x:c r="H42" s="22" t="str">
        <x:v>Não confirmado</x:v>
      </x:c>
      <x:c r="I42" s="22" t="str">
        <x:v>A confirmar</x:v>
      </x:c>
      <x:c r="J42" s="25" t="str">
        <x:v>https://www.usinainfo.com.br/regulador-de-tensao/regulador-de-tensao-e-corrente-ajustavel-xl4015-dc-step-down-saida-125-a-32vdc-02-a-3a-5880.html</x:v>
      </x:c>
      <x:c r="K42" s="22" t="str">
        <x:v>Link localizado; preço e estoque não confirmados.</x:v>
      </x:c>
    </x:row>
    <x:row r="43" ht="73.5" customHeight="1">
      <x:c r="A43" s="22" t="str">
        <x:v>12-3</x:v>
      </x:c>
      <x:c r="B43" s="22" t="str">
        <x:v>12</x:v>
      </x:c>
      <x:c r="C43" s="22" t="n">
        <x:v>3</x:v>
      </x:c>
      <x:c r="D43" s="22" t="str">
        <x:v>Eletrogate</x:v>
      </x:c>
      <x:c r="E43" s="22" t="str">
        <x:v>1 XL4015 CC/CV; versão vermelha</x:v>
      </x:c>
      <x:c r="F43" s="23" t="n">
        <x:v>1</x:v>
      </x:c>
      <x:c r="G43" s="24"/>
      <x:c r="H43" s="22" t="str">
        <x:v>Não confirmado</x:v>
      </x:c>
      <x:c r="I43" s="22" t="str">
        <x:v>A confirmar</x:v>
      </x:c>
      <x:c r="J43" s="25" t="str">
        <x:v>https://www.eletrogate.com/modulo-regulador-de-tensao-e-corrente-step-down-xl4015-5a-vermelho</x:v>
      </x:c>
      <x:c r="K43" s="22" t="str">
        <x:v>Página consultada; preço do produto não apareceu. Não confundir com XL4015 apenas CV.</x:v>
      </x:c>
    </x:row>
    <x:row r="44" ht="73.5" customHeight="1">
      <x:c r="A44" s="22" t="str">
        <x:v>13-1</x:v>
      </x:c>
      <x:c r="B44" s="22" t="str">
        <x:v>13</x:v>
      </x:c>
      <x:c r="C44" s="22" t="n">
        <x:v>1</x:v>
      </x:c>
      <x:c r="D44" s="22" t="str">
        <x:v>TEC BIG / Sunshine</x:v>
      </x:c>
      <x:c r="E44" s="22" t="str">
        <x:v>1 fonte Sunshine P-3005D; selecionar entrada de rede</x:v>
      </x:c>
      <x:c r="F44" s="23" t="n">
        <x:v>1</x:v>
      </x:c>
      <x:c r="G44" s="24" t="n">
        <x:v>410</x:v>
      </x:c>
      <x:c r="H44" s="22" t="str">
        <x:v>Preço normal anunciado</x:v>
      </x:c>
      <x:c r="I44" s="22" t="str">
        <x:v>Disponibilidade imediata</x:v>
      </x:c>
      <x:c r="J44" s="25" t="str">
        <x:v>https://www.tecbig.com.br/ferramentas-laboratorio/fonte-bancada/fonte-de-alimentacao-digital-para-bancada-eletronica-3-digitos-30v-5a-p-3005d</x:v>
      </x:c>
      <x:c r="K44" s="22" t="str">
        <x:v>Preço normal; à vista R$ 397,70. Anúncio apresenta informação divergente sobre bivolt: confirmar variante 110/220 V.</x:v>
      </x:c>
    </x:row>
    <x:row r="45" ht="73.5" customHeight="1">
      <x:c r="A45" s="22" t="str">
        <x:v>13-2</x:v>
      </x:c>
      <x:c r="B45" s="22" t="str">
        <x:v>13</x:v>
      </x:c>
      <x:c r="C45" s="22" t="n">
        <x:v>2</x:v>
      </x:c>
      <x:c r="D45" s="22" t="str">
        <x:v>RF4 Ferramentas</x:v>
      </x:c>
      <x:c r="E45" s="22" t="str">
        <x:v>1 fonte RF4 RF-3005D FIS; CC/CV; modelo diferente</x:v>
      </x:c>
      <x:c r="F45" s="23" t="n">
        <x:v>1</x:v>
      </x:c>
      <x:c r="G45" s="24" t="n">
        <x:v>700</x:v>
      </x:c>
      <x:c r="H45" s="22" t="str">
        <x:v>Preço normal anunciado</x:v>
      </x:c>
      <x:c r="I45" s="22" t="str">
        <x:v>A confirmar</x:v>
      </x:c>
      <x:c r="J45" s="25" t="str">
        <x:v>https://rf4ferramentas.com.br/produto/fonte-de-alimentacao-rf4-rf-3005d-fis</x:v>
      </x:c>
      <x:c r="K45" s="22" t="str">
        <x:v>Preço exibido. Conferir conteúdo do conjunto e disponibilidade; funções adicionais não são necessárias ao ensaio.</x:v>
      </x:c>
    </x:row>
    <x:row r="46" ht="73.5" customHeight="1">
      <x:c r="A46" s="22" t="str">
        <x:v>13-3</x:v>
      </x:c>
      <x:c r="B46" s="22" t="str">
        <x:v>13</x:v>
      </x:c>
      <x:c r="C46" s="22" t="n">
        <x:v>3</x:v>
      </x:c>
      <x:c r="D46" s="22" t="str">
        <x:v>Shopee / Yaxun</x:v>
      </x:c>
      <x:c r="E46" s="22" t="str">
        <x:v>1 fonte Yaxun YX-3005D; modelo diferente</x:v>
      </x:c>
      <x:c r="F46" s="23" t="n">
        <x:v>1</x:v>
      </x:c>
      <x:c r="G46" s="24"/>
      <x:c r="H46" s="22" t="str">
        <x:v>Não confirmado</x:v>
      </x:c>
      <x:c r="I46" s="22" t="str">
        <x:v>A confirmar</x:v>
      </x:c>
      <x:c r="J46" s="25" t="str">
        <x:v>https://shopee.com.br/FONTE-DE-ALIMENTA%C3%87%C3%83O-DE-BANCADA-REGUL%C3%81VEL-DE-0-30V-E-0-5A-YA-XUN-YAXUN-YX-3005D-BIVOLT.-i.329155987.20298022421</x:v>
      </x:c>
      <x:c r="K46" s="22" t="str">
        <x:v>Link localizado; preço e estoque não confirmados.</x:v>
      </x:c>
    </x:row>
    <x:row r="47" ht="73.5" customHeight="1">
      <x:c r="A47" s="22" t="str">
        <x:v>14-1</x:v>
      </x:c>
      <x:c r="B47" s="22" t="str">
        <x:v>14</x:v>
      </x:c>
      <x:c r="C47" s="22" t="n">
        <x:v>1</x:v>
      </x:c>
      <x:c r="D47" s="22" t="str">
        <x:v>Casa da Robótica</x:v>
      </x:c>
      <x:c r="E47" s="22" t="str">
        <x:v>1 protoboard; 830 pontos</x:v>
      </x:c>
      <x:c r="F47" s="23" t="n">
        <x:v>1</x:v>
      </x:c>
      <x:c r="G47" s="24" t="n">
        <x:v>11.99</x:v>
      </x:c>
      <x:c r="H47" s="22" t="str">
        <x:v>Preço normal anunciado</x:v>
      </x:c>
      <x:c r="I47" s="22" t="str">
        <x:v>Disponível na página</x:v>
      </x:c>
      <x:c r="J47" s="25" t="str">
        <x:v>https://www.casadarobotica.com/prototipagem-e-ferramentas/prototipagem/protoboard/protoboard-830-furos-pontos</x:v>
      </x:c>
      <x:c r="K47" s="22" t="str">
        <x:v>Preço normal; à vista R$ 11,39.</x:v>
      </x:c>
    </x:row>
    <x:row r="48" ht="73.5" customHeight="1">
      <x:c r="A48" s="22" t="str">
        <x:v>14-2</x:v>
      </x:c>
      <x:c r="B48" s="22" t="str">
        <x:v>14</x:v>
      </x:c>
      <x:c r="C48" s="22" t="n">
        <x:v>2</x:v>
      </x:c>
      <x:c r="D48" s="22" t="str">
        <x:v>Eletrogate</x:v>
      </x:c>
      <x:c r="E48" s="22" t="str">
        <x:v>1 protoboard; 830 pontos</x:v>
      </x:c>
      <x:c r="F48" s="23" t="n">
        <x:v>1</x:v>
      </x:c>
      <x:c r="G48" s="24"/>
      <x:c r="H48" s="22" t="str">
        <x:v>Não confirmado</x:v>
      </x:c>
      <x:c r="I48" s="22" t="str">
        <x:v>A confirmar</x:v>
      </x:c>
      <x:c r="J48" s="25" t="str">
        <x:v>https://www.eletrogate.com/protoboard-830-pontos</x:v>
      </x:c>
      <x:c r="K48" s="22" t="str">
        <x:v>Link localizado; preço e estoque não confirmados.</x:v>
      </x:c>
    </x:row>
    <x:row r="49" ht="73.5" customHeight="1">
      <x:c r="A49" s="22" t="str">
        <x:v>14-3</x:v>
      </x:c>
      <x:c r="B49" s="22" t="str">
        <x:v>14</x:v>
      </x:c>
      <x:c r="C49" s="22" t="n">
        <x:v>3</x:v>
      </x:c>
      <x:c r="D49" s="22" t="str">
        <x:v>Mult Comercial</x:v>
      </x:c>
      <x:c r="E49" s="22" t="str">
        <x:v>1 protoboard MB-102; 830 pontos</x:v>
      </x:c>
      <x:c r="F49" s="23" t="n">
        <x:v>1</x:v>
      </x:c>
      <x:c r="G49" s="24"/>
      <x:c r="H49" s="22" t="str">
        <x:v>Não confirmado</x:v>
      </x:c>
      <x:c r="I49" s="22" t="str">
        <x:v>A confirmar</x:v>
      </x:c>
      <x:c r="J49" s="25" t="str">
        <x:v>https://www.multcomercial.com.br/protoboard-830-pontos-mb-102.html</x:v>
      </x:c>
      <x:c r="K49" s="22" t="str">
        <x:v>Link localizado; preço e estoque não confirmados.</x:v>
      </x:c>
    </x:row>
    <x:row r="50" ht="73.5" customHeight="1">
      <x:c r="A50" s="22" t="str">
        <x:v>15-1</x:v>
      </x:c>
      <x:c r="B50" s="22" t="str">
        <x:v>15</x:v>
      </x:c>
      <x:c r="C50" s="22" t="n">
        <x:v>1</x:v>
      </x:c>
      <x:c r="D50" s="22" t="str">
        <x:v>MakerHero</x:v>
      </x:c>
      <x:c r="E50" s="22" t="str">
        <x:v>1 kit; 120 jumpers de 20 cm; 40 de cada tipo</x:v>
      </x:c>
      <x:c r="F50" s="23" t="n">
        <x:v>1</x:v>
      </x:c>
      <x:c r="G50" s="24" t="n">
        <x:v>22.9</x:v>
      </x:c>
      <x:c r="H50" s="22" t="str">
        <x:v>Preço normal anunciado</x:v>
      </x:c>
      <x:c r="I50" s="22" t="str">
        <x:v>Disponível na página</x:v>
      </x:c>
      <x:c r="J50" s="25" t="str">
        <x:v>https://www.makerhero.com/produto/kit-jumpers-20cm-x120-unidades/</x:v>
      </x:c>
      <x:c r="K50" s="22" t="str">
        <x:v>Preço normal; Pix R$ 21,75.</x:v>
      </x:c>
    </x:row>
    <x:row r="51" ht="73.5" customHeight="1">
      <x:c r="A51" s="22" t="str">
        <x:v>15-2</x:v>
      </x:c>
      <x:c r="B51" s="22" t="str">
        <x:v>15</x:v>
      </x:c>
      <x:c r="C51" s="22" t="n">
        <x:v>2</x:v>
      </x:c>
      <x:c r="D51" s="22" t="str">
        <x:v>Casa da Robótica</x:v>
      </x:c>
      <x:c r="E51" s="22" t="str">
        <x:v>1 kit; 120 jumpers de 20 cm; MM/MF/FF</x:v>
      </x:c>
      <x:c r="F51" s="23" t="n">
        <x:v>1</x:v>
      </x:c>
      <x:c r="G51" s="24"/>
      <x:c r="H51" s="22" t="str">
        <x:v>Não confirmado</x:v>
      </x:c>
      <x:c r="I51" s="22" t="str">
        <x:v>A confirmar</x:v>
      </x:c>
      <x:c r="J51" s="25" t="str">
        <x:v>https://www.casadarobotica.com/prototipagem-ferramentas/prototipagem/cabos/kit-120-cabo-jumper-de-20cm-40-macho-x-femea-40-macho-x-macho-e-40-femea-x-femea-para-arduino</x:v>
      </x:c>
      <x:c r="K51" s="22" t="str">
        <x:v>Conjunto de 120 unidades confirmado; preço não consolidado.</x:v>
      </x:c>
    </x:row>
    <x:row r="52" ht="73.5" customHeight="1">
      <x:c r="A52" s="22" t="str">
        <x:v>15-3</x:v>
      </x:c>
      <x:c r="B52" s="22" t="str">
        <x:v>15</x:v>
      </x:c>
      <x:c r="C52" s="22" t="n">
        <x:v>3</x:v>
      </x:c>
      <x:c r="D52" s="22" t="str">
        <x:v>Shopee</x:v>
      </x:c>
      <x:c r="E52" s="22" t="str">
        <x:v>1 kit; 120 jumpers de 20 cm; MM/MF/FF</x:v>
      </x:c>
      <x:c r="F52" s="23" t="n">
        <x:v>1</x:v>
      </x:c>
      <x:c r="G52" s="24"/>
      <x:c r="H52" s="22" t="str">
        <x:v>Não confirmado</x:v>
      </x:c>
      <x:c r="I52" s="22" t="str">
        <x:v>A confirmar</x:v>
      </x:c>
      <x:c r="J52" s="25" t="str">
        <x:v>https://shopee.com.br/Jumpers-20cm-2.54mm-Kit-MM-MF-FF-120-Unidades-i.304791559.8240386378</x:v>
      </x:c>
      <x:c r="K52" s="22" t="str">
        <x:v>Link localizado; preço e estoque não confirmados.</x:v>
      </x:c>
    </x:row>
    <x:row r="53" ht="73.5" customHeight="1">
      <x:c r="A53" s="22" t="str">
        <x:v>16-1</x:v>
      </x:c>
      <x:c r="B53" s="22" t="str">
        <x:v>16</x:v>
      </x:c>
      <x:c r="C53" s="22" t="n">
        <x:v>1</x:v>
      </x:c>
      <x:c r="D53" s="22" t="str">
        <x:v>AutoCore Robótica</x:v>
      </x:c>
      <x:c r="E53" s="22" t="str">
        <x:v>1 cabo micro-USB para dados</x:v>
      </x:c>
      <x:c r="F53" s="23" t="n">
        <x:v>1</x:v>
      </x:c>
      <x:c r="G53" s="24" t="n">
        <x:v>9.9</x:v>
      </x:c>
      <x:c r="H53" s="22" t="str">
        <x:v>Preço normal anunciado</x:v>
      </x:c>
      <x:c r="I53" s="22" t="str">
        <x:v>Disponível na página</x:v>
      </x:c>
      <x:c r="J53" s="25" t="str">
        <x:v>https://www.autocorerobotica.com.br/cabo-de-dados-micro-usb-emborrachado-azul</x:v>
      </x:c>
      <x:c r="K53" s="22" t="str">
        <x:v>Preço normal; Pix R$ 9,40.</x:v>
      </x:c>
    </x:row>
    <x:row r="54" ht="73.5" customHeight="1">
      <x:c r="A54" s="22" t="str">
        <x:v>16-2</x:v>
      </x:c>
      <x:c r="B54" s="22" t="str">
        <x:v>16</x:v>
      </x:c>
      <x:c r="C54" s="22" t="n">
        <x:v>2</x:v>
      </x:c>
      <x:c r="D54" s="22" t="str">
        <x:v>Eletrogate</x:v>
      </x:c>
      <x:c r="E54" s="22" t="str">
        <x:v>1 cabo micro-USB para dados; 30 cm</x:v>
      </x:c>
      <x:c r="F54" s="23" t="n">
        <x:v>1</x:v>
      </x:c>
      <x:c r="G54" s="24"/>
      <x:c r="H54" s="22" t="str">
        <x:v>Não confirmado</x:v>
      </x:c>
      <x:c r="I54" s="22" t="str">
        <x:v>A confirmar</x:v>
      </x:c>
      <x:c r="J54" s="25" t="str">
        <x:v>https://www.eletrogate.com/cabo-micro-usb-azul-30-cm</x:v>
      </x:c>
      <x:c r="K54" s="22" t="str">
        <x:v>Link localizado; preço e estoque não confirmados.</x:v>
      </x:c>
    </x:row>
    <x:row r="55" ht="73.5" customHeight="1">
      <x:c r="A55" s="22" t="str">
        <x:v>16-3</x:v>
      </x:c>
      <x:c r="B55" s="22" t="str">
        <x:v>16</x:v>
      </x:c>
      <x:c r="C55" s="22" t="n">
        <x:v>3</x:v>
      </x:c>
      <x:c r="D55" s="22" t="str">
        <x:v>RoboCore</x:v>
      </x:c>
      <x:c r="E55" s="22" t="str">
        <x:v>1 cabo micro-USB para dados; 80 cm</x:v>
      </x:c>
      <x:c r="F55" s="23" t="n">
        <x:v>1</x:v>
      </x:c>
      <x:c r="G55" s="24"/>
      <x:c r="H55" s="22" t="str">
        <x:v>Não confirmado</x:v>
      </x:c>
      <x:c r="I55" s="22" t="str">
        <x:v>Indisponível na pesquisa</x:v>
      </x:c>
      <x:c r="J55" s="25" t="str">
        <x:v>https://www.robocore.net/cabo/cabo-usb-micro-b</x:v>
      </x:c>
      <x:c r="K55" s="22" t="str">
        <x:v>Categoria consultada marcava esgotado; confirmar reposição.</x:v>
      </x:c>
    </x:row>
    <x:row r="56" ht="73.5" customHeight="1">
      <x:c r="A56" s="22" t="str">
        <x:v>17-1</x:v>
      </x:c>
      <x:c r="B56" s="22" t="str">
        <x:v>17</x:v>
      </x:c>
      <x:c r="C56" s="22" t="n">
        <x:v>1</x:v>
      </x:c>
      <x:c r="D56" s="22" t="str">
        <x:v>Eletrogate</x:v>
      </x:c>
      <x:c r="E56" s="22" t="str">
        <x:v>1 barra reta; 40 pinos; passo 2,54 mm</x:v>
      </x:c>
      <x:c r="F56" s="23" t="n">
        <x:v>1</x:v>
      </x:c>
      <x:c r="G56" s="24" t="n">
        <x:v>0.8</x:v>
      </x:c>
      <x:c r="H56" s="22" t="str">
        <x:v>Preço normal anunciado</x:v>
      </x:c>
      <x:c r="I56" s="22" t="str">
        <x:v>Disponível na página</x:v>
      </x:c>
      <x:c r="J56" s="25" t="str">
        <x:v>https://www.eletrogate.com/barra-de-pinos-macho-1x40-180</x:v>
      </x:c>
      <x:c r="K56" s="22" t="str">
        <x:v>Preço normal; Pix R$ 0,76.</x:v>
      </x:c>
    </x:row>
    <x:row r="57" ht="73.5" customHeight="1">
      <x:c r="A57" s="22" t="str">
        <x:v>17-2</x:v>
      </x:c>
      <x:c r="B57" s="22" t="str">
        <x:v>17</x:v>
      </x:c>
      <x:c r="C57" s="22" t="n">
        <x:v>2</x:v>
      </x:c>
      <x:c r="D57" s="22" t="str">
        <x:v>Mult Comercial</x:v>
      </x:c>
      <x:c r="E57" s="22" t="str">
        <x:v>1 barra reta macho; 40 pinos</x:v>
      </x:c>
      <x:c r="F57" s="23" t="n">
        <x:v>1</x:v>
      </x:c>
      <x:c r="G57" s="24"/>
      <x:c r="H57" s="22" t="str">
        <x:v>Não confirmado</x:v>
      </x:c>
      <x:c r="I57" s="22" t="str">
        <x:v>A confirmar</x:v>
      </x:c>
      <x:c r="J57" s="25" t="str">
        <x:v>https://www.multcomercial.com.br/barra-de-pinos-1x40-macho-bmec040-1e.html</x:v>
      </x:c>
      <x:c r="K57" s="22" t="str">
        <x:v>Link localizado; preço e estoque não confirmados.</x:v>
      </x:c>
    </x:row>
    <x:row r="58" ht="73.5" customHeight="1">
      <x:c r="A58" s="22" t="str">
        <x:v>17-3</x:v>
      </x:c>
      <x:c r="B58" s="22" t="str">
        <x:v>17</x:v>
      </x:c>
      <x:c r="C58" s="22" t="n">
        <x:v>3</x:v>
      </x:c>
      <x:c r="D58" s="22" t="str">
        <x:v>Usinainfo</x:v>
      </x:c>
      <x:c r="E58" s="22" t="str">
        <x:v>1 barra reta; 40 pinos; passo 2,54 mm</x:v>
      </x:c>
      <x:c r="F58" s="23" t="n">
        <x:v>1</x:v>
      </x:c>
      <x:c r="G58" s="24"/>
      <x:c r="H58" s="22" t="str">
        <x:v>Não confirmado</x:v>
      </x:c>
      <x:c r="I58" s="22" t="str">
        <x:v>A confirmar</x:v>
      </x:c>
      <x:c r="J58" s="25" t="str">
        <x:v>https://www.usinainfo.com.br/barras-de-pinos/barra-de-pinos-macho-1x40-vias-com-passo-de-254mm-180-preto-2748.html</x:v>
      </x:c>
      <x:c r="K58" s="22" t="str">
        <x:v>Link localizado; preço e estoque não confirmados.</x:v>
      </x:c>
    </x:row>
    <x:row r="59" ht="73.5" customHeight="1">
      <x:c r="A59" s="22" t="str">
        <x:v>18-1</x:v>
      </x:c>
      <x:c r="B59" s="22" t="str">
        <x:v>18</x:v>
      </x:c>
      <x:c r="C59" s="22" t="n">
        <x:v>1</x:v>
      </x:c>
      <x:c r="D59" s="22" t="str">
        <x:v>Azupa</x:v>
      </x:c>
      <x:c r="E59" s="22" t="str">
        <x:v>2 m vermelho + 2 m preto = 4 m</x:v>
      </x:c>
      <x:c r="F59" s="23" t="n">
        <x:v>4</x:v>
      </x:c>
      <x:c r="G59" s="24" t="n">
        <x:v>84.9</x:v>
      </x:c>
      <x:c r="H59" s="22" t="str">
        <x:v>Preço normal anunciado</x:v>
      </x:c>
      <x:c r="I59" s="22" t="str">
        <x:v>Disponível na página</x:v>
      </x:c>
      <x:c r="J59" s="25" t="str">
        <x:v>https://www.azupa.com.br/cabo-flexivel-de-silicone-18awg-2m-preto-e-vermelho</x:v>
      </x:c>
      <x:c r="K59" s="22" t="str">
        <x:v>Preço do conjunto; Pix R$ 80,66. Um lote fornece mais fio que a necessidade mínima.</x:v>
      </x:c>
    </x:row>
    <x:row r="60" ht="73.5" customHeight="1">
      <x:c r="A60" s="22" t="str">
        <x:v>18-2</x:v>
      </x:c>
      <x:c r="B60" s="22" t="str">
        <x:v>18</x:v>
      </x:c>
      <x:c r="C60" s="22" t="n">
        <x:v>2</x:v>
      </x:c>
      <x:c r="D60" s="22" t="str">
        <x:v>Action Modelismo</x:v>
      </x:c>
      <x:c r="E60" s="22" t="str">
        <x:v>1 m vermelho + 1 m preto = 2 m</x:v>
      </x:c>
      <x:c r="F60" s="23" t="n">
        <x:v>2</x:v>
      </x:c>
      <x:c r="G60" s="24"/>
      <x:c r="H60" s="22" t="str">
        <x:v>Não confirmado</x:v>
      </x:c>
      <x:c r="I60" s="22" t="str">
        <x:v>A confirmar</x:v>
      </x:c>
      <x:c r="J60" s="25" t="str">
        <x:v>https://www.actionmodelismo.com.br/parfiocabodecobrerevestidocomsilicone18awg23mmvermelhoepreto1metroflyermodflmx800018</x:v>
      </x:c>
      <x:c r="K60" s="22" t="str">
        <x:v>Página consultada; preço não consolidado.</x:v>
      </x:c>
    </x:row>
    <x:row r="61" ht="73.5" customHeight="1">
      <x:c r="A61" s="22" t="str">
        <x:v>18-3</x:v>
      </x:c>
      <x:c r="B61" s="22" t="str">
        <x:v>18</x:v>
      </x:c>
      <x:c r="C61" s="22" t="n">
        <x:v>3</x:v>
      </x:c>
      <x:c r="D61" s="22" t="str">
        <x:v>Shopee</x:v>
      </x:c>
      <x:c r="E61" s="22" t="str">
        <x:v>1 m vermelho + 1 m preto = 2 m</x:v>
      </x:c>
      <x:c r="F61" s="23" t="n">
        <x:v>2</x:v>
      </x:c>
      <x:c r="G61" s="24"/>
      <x:c r="H61" s="22" t="str">
        <x:v>Não confirmado</x:v>
      </x:c>
      <x:c r="I61" s="22" t="str">
        <x:v>A confirmar</x:v>
      </x:c>
      <x:c r="J61" s="25" t="str">
        <x:v>https://shopee.com.br/Fio-Silicone-18awg-%281-Mt-Preto-1-Mt-Vermelho%29-i.393645533.21097457506</x:v>
      </x:c>
      <x:c r="K61" s="22" t="str">
        <x:v>Link localizado; preço e estoque não confirmados.</x:v>
      </x:c>
    </x:row>
    <x:row r="62" ht="73.5" customHeight="1">
      <x:c r="A62" s="22" t="str">
        <x:v>19-1</x:v>
      </x:c>
      <x:c r="B62" s="22" t="str">
        <x:v>19</x:v>
      </x:c>
      <x:c r="C62" s="22" t="n">
        <x:v>1</x:v>
      </x:c>
      <x:c r="D62" s="22" t="str">
        <x:v>Eletrogate</x:v>
      </x:c>
      <x:c r="E62" s="22" t="str">
        <x:v>1 porta-fusível de fio; 5 × 20 mm</x:v>
      </x:c>
      <x:c r="F62" s="23" t="n">
        <x:v>1</x:v>
      </x:c>
      <x:c r="G62" s="24" t="n">
        <x:v>1.9</x:v>
      </x:c>
      <x:c r="H62" s="22" t="str">
        <x:v>Preço normal anunciado</x:v>
      </x:c>
      <x:c r="I62" s="22" t="str">
        <x:v>Disponível na página</x:v>
      </x:c>
      <x:c r="J62" s="25" t="str">
        <x:v>https://www.eletrogate.com/porta-fusivel-meio-de-fio-5x20</x:v>
      </x:c>
      <x:c r="K62" s="22" t="str">
        <x:v>Preço normal; Pix R$ 1,80.</x:v>
      </x:c>
    </x:row>
    <x:row r="63" ht="73.5" customHeight="1">
      <x:c r="A63" s="22" t="str">
        <x:v>19-2</x:v>
      </x:c>
      <x:c r="B63" s="22" t="str">
        <x:v>19</x:v>
      </x:c>
      <x:c r="C63" s="22" t="n">
        <x:v>2</x:v>
      </x:c>
      <x:c r="D63" s="22" t="str">
        <x:v>Baú da Eletrônica</x:v>
      </x:c>
      <x:c r="E63" s="22" t="str">
        <x:v>1 porta-fusível 5 × 20 mm</x:v>
      </x:c>
      <x:c r="F63" s="23" t="n">
        <x:v>1</x:v>
      </x:c>
      <x:c r="G63" s="24"/>
      <x:c r="H63" s="22" t="str">
        <x:v>Não confirmado</x:v>
      </x:c>
      <x:c r="I63" s="22" t="str">
        <x:v>A confirmar</x:v>
      </x:c>
      <x:c r="J63" s="25" t="str">
        <x:v>https://www.baudaeletronica.com.br/produto/porta-fusivel-pequeno-5x20-preto.html</x:v>
      </x:c>
      <x:c r="K63" s="22" t="str">
        <x:v>Link localizado; preço e estoque não confirmados.</x:v>
      </x:c>
    </x:row>
    <x:row r="64" ht="73.5" customHeight="1">
      <x:c r="A64" s="22" t="str">
        <x:v>19-3</x:v>
      </x:c>
      <x:c r="B64" s="22" t="str">
        <x:v>19</x:v>
      </x:c>
      <x:c r="C64" s="22" t="n">
        <x:v>3</x:v>
      </x:c>
      <x:c r="D64" s="22" t="str">
        <x:v>AutoCore Robótica</x:v>
      </x:c>
      <x:c r="E64" s="22" t="str">
        <x:v>1 porta-fusível de fio; 5 × 20 mm</x:v>
      </x:c>
      <x:c r="F64" s="23" t="n">
        <x:v>1</x:v>
      </x:c>
      <x:c r="G64" s="24"/>
      <x:c r="H64" s="22" t="str">
        <x:v>Não confirmado</x:v>
      </x:c>
      <x:c r="I64" s="22" t="str">
        <x:v>A confirmar</x:v>
      </x:c>
      <x:c r="J64" s="25" t="str">
        <x:v>https://www.autocorerobotica.com.br/porta-fusivel-5x20-meio-fio</x:v>
      </x:c>
      <x:c r="K64" s="22" t="str">
        <x:v>Link localizado; preço e estoque não confirmados.</x:v>
      </x:c>
    </x:row>
    <x:row r="65" ht="73.5" customHeight="1">
      <x:c r="A65" s="22" t="str">
        <x:v>20-1</x:v>
      </x:c>
      <x:c r="B65" s="22" t="str">
        <x:v>20</x:v>
      </x:c>
      <x:c r="C65" s="22" t="n">
        <x:v>1</x:v>
      </x:c>
      <x:c r="D65" s="22" t="str">
        <x:v>Plenobras</x:v>
      </x:c>
      <x:c r="E65" s="22" t="str">
        <x:v>1 fusível rápido; 3 A; 5 × 20 mm</x:v>
      </x:c>
      <x:c r="F65" s="23" t="n">
        <x:v>1</x:v>
      </x:c>
      <x:c r="G65" s="24" t="n">
        <x:v>0.43</x:v>
      </x:c>
      <x:c r="H65" s="22" t="str">
        <x:v>Preço normal anunciado</x:v>
      </x:c>
      <x:c r="I65" s="22" t="str">
        <x:v>Disponível na página</x:v>
      </x:c>
      <x:c r="J65" s="25" t="str">
        <x:v>https://www.plenobras.com.br/646a5966d496504d21dd9f6b/fusivel-vidro-pequeno-3a-5x20-mm-250vca</x:v>
      </x:c>
      <x:c r="K65" s="22" t="str">
        <x:v>Preço unitário. Anúncio informa 250 VCA; confirmar tensão/capacidade de interrupção em CC do lote.</x:v>
      </x:c>
    </x:row>
    <x:row r="66" ht="73.5" customHeight="1">
      <x:c r="A66" s="22" t="str">
        <x:v>20-2</x:v>
      </x:c>
      <x:c r="B66" s="22" t="str">
        <x:v>20</x:v>
      </x:c>
      <x:c r="C66" s="22" t="n">
        <x:v>2</x:v>
      </x:c>
      <x:c r="D66" s="22" t="str">
        <x:v>Proesi</x:v>
      </x:c>
      <x:c r="E66" s="22" t="str">
        <x:v>1 fusível Fusibras rápido; 3 A; 5 × 20 mm</x:v>
      </x:c>
      <x:c r="F66" s="23" t="n">
        <x:v>1</x:v>
      </x:c>
      <x:c r="G66" s="24"/>
      <x:c r="H66" s="22" t="str">
        <x:v>Não confirmado</x:v>
      </x:c>
      <x:c r="I66" s="22" t="str">
        <x:v>A confirmar</x:v>
      </x:c>
      <x:c r="J66" s="25" t="str">
        <x:v>https://www.proesi.com.br/fusivel-vidro-fusibras-20agf-5x20mm-3a-rapido</x:v>
      </x:c>
      <x:c r="K66" s="22" t="str">
        <x:v>Página técnica consultada; preço não exibido.</x:v>
      </x:c>
    </x:row>
    <x:row r="67" ht="73.5" customHeight="1">
      <x:c r="A67" s="22" t="str">
        <x:v>20-3</x:v>
      </x:c>
      <x:c r="B67" s="22" t="str">
        <x:v>20</x:v>
      </x:c>
      <x:c r="C67" s="22" t="n">
        <x:v>3</x:v>
      </x:c>
      <x:c r="D67" s="22" t="str">
        <x:v>Dimensional</x:v>
      </x:c>
      <x:c r="E67" s="22" t="str">
        <x:v>1 fusível Dekfuse rápido; 3 A; 5 × 20 mm</x:v>
      </x:c>
      <x:c r="F67" s="23" t="n">
        <x:v>1</x:v>
      </x:c>
      <x:c r="G67" s="24"/>
      <x:c r="H67" s="22" t="str">
        <x:v>Não confirmado</x:v>
      </x:c>
      <x:c r="I67" s="22" t="str">
        <x:v>A confirmar</x:v>
      </x:c>
      <x:c r="J67" s="25" t="str">
        <x:v>https://www.dimensional.com.br/fusivel-vidro-5x20mm-rapida-250v-3a-v20agkf-dekfuse/p</x:v>
      </x:c>
      <x:c r="K67" s="22" t="str">
        <x:v>Link localizado; preço e estoque não confirmados.</x:v>
      </x:c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</x:row>
  </x:sheetData>
  <x:mergeCells>
    <x:mergeCell ref="A2:K2"/>
    <x:mergeCell ref="A3:K3"/>
    <x:mergeCell ref="A4:K4"/>
    <x:mergeCell ref="A5:K5"/>
  </x:mergeCells>
  <x:conditionalFormatting sqref="I8:I67">
    <x:cfRule type="containsText" dxfId="0" priority="1" operator="containsText" text="Indisponível"/>
  </x:conditionalFormatting>
  <x:pageMargins left="0.7" right="0.7" top="0.75" bottom="0.75" header="0.3" footer="0.3"/>
  <x:tableParts count="1">
    <x:tablePart xmlns:r="http://schemas.openxmlformats.org/officeDocument/2006/relationships" r:id="Rcab644129733401d"/>
  </x:tableParts>
</x:worksheet>
</file>

<file path=xl/worksheets/sheet3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.110000610351562" hidden="0" customWidth="1"/>
    <x:col min="2" max="2" width="41.11000061035156" hidden="0" customWidth="1"/>
    <x:col min="3" max="3" width="41.11000061035156" hidden="0" customWidth="1"/>
    <x:col min="4" max="4" width="41.11000061035156" hidden="0" customWidth="1"/>
  </x:cols>
  <x:sheetData>
    <x:row r="1">
      <x:c r="A1" s="3"/>
      <x:c r="B1" s="3"/>
      <x:c r="C1" s="3"/>
      <x:c r="D1" s="3"/>
    </x:row>
    <x:row r="2" ht="30" customHeight="1">
      <x:c r="A2" s="4" t="str">
        <x:v>Como esta lista atende ao protótipo</x:v>
      </x:c>
      <x:c r="B2" s="4" t="str">
        <x:v>Como esta lista atende ao protótipo</x:v>
      </x:c>
      <x:c r="C2" s="4" t="str">
        <x:v>Como esta lista atende ao protótipo</x:v>
      </x:c>
      <x:c r="D2" s="4" t="str">
        <x:v>Como esta lista atende ao protótipo</x:v>
      </x:c>
    </x:row>
    <x:row r="3" ht="22.5" customHeight="1">
      <x:c r="A3" s="5" t="str">
        <x:v>Proposta de bancada auxiliar ao projeto CM5 / RP2040 / MZM • 22/10/2026</x:v>
      </x:c>
      <x:c r="B3" s="5" t="str">
        <x:v>Proposta de bancada auxiliar ao projeto CM5 / RP2040 / MZM • 22/10/2026</x:v>
      </x:c>
      <x:c r="C3" s="5" t="str">
        <x:v>Proposta de bancada auxiliar ao projeto CM5 / RP2040 / MZM • 22/10/2026</x:v>
      </x:c>
      <x:c r="D3" s="5" t="str">
        <x:v>Proposta de bancada auxiliar ao projeto CM5 / RP2040 / MZM • 22/10/2026</x:v>
      </x:c>
    </x:row>
    <x:row r="4" ht="24" customHeight="1">
      <x:c r="A4" s="6" t="str">
        <x:v>Equipe: Carlos Renan Correia Fidelis; Carlos Elias Fialho de Lima; Pablo Daniel Nascimento Vieira.</x:v>
      </x:c>
      <x:c r="B4" s="6" t="str">
        <x:v>Equipe: Carlos Renan Correia Fidelis; Carlos Elias Fialho de Lima; Pablo Daniel Nascimento Vieira.</x:v>
      </x:c>
      <x:c r="C4" s="6" t="str">
        <x:v>Equipe: Carlos Renan Correia Fidelis; Carlos Elias Fialho de Lima; Pablo Daniel Nascimento Vieira.</x:v>
      </x:c>
      <x:c r="D4" s="6" t="str">
        <x:v>Equipe: Carlos Renan Correia Fidelis; Carlos Elias Fialho de Lima; Pablo Daniel Nascimento Vieira.</x:v>
      </x:c>
    </x:row>
    <x:row r="5" ht="25.5" customHeight="1">
      <x:c r="A5" s="21" t="str">
        <x:v>Tema</x:v>
      </x:c>
      <x:c r="B5" s="21" t="str">
        <x:v>Aplicação e decisão de compra</x:v>
      </x:c>
      <x:c r="C5" s="21" t="str">
        <x:v>Aplicação e decisão de compra</x:v>
      </x:c>
      <x:c r="D5" s="21" t="str">
        <x:v>Aplicação e decisão de compra</x:v>
      </x:c>
    </x:row>
    <x:row r="6" ht="84" customHeight="1">
      <x:c r="A6" s="44" t="str">
        <x:v>Escopo desta compra</x:v>
      </x:c>
      <x:c r="B6" s="45" t="str">
        <x:v>Atende à solicitação de microcontroladores, TEC com dissipação e acionamento, sensor com condicionamento, aquecedor e carga de três diodos. É uma bancada para estudar os circuitos antes de conectar um laser. Não é a lista completa de fabricação da placa R6 nem uma afirmação de que ela já contém controle de corrente do laser e de temperatura.</x:v>
      </x:c>
      <x:c r="C6" s="45" t="str">
        <x:v>Atende à solicitação de microcontroladores, TEC com dissipação e acionamento, sensor com condicionamento, aquecedor e carga de três diodos. É uma bancada para estudar os circuitos antes de conectar um laser. Não é a lista completa de fabricação da placa R6 nem uma afirmação de que ela já contém controle de corrente do laser e de temperatura.</x:v>
      </x:c>
      <x:c r="D6" s="45" t="str">
        <x:v>Atende à solicitação de microcontroladores, TEC com dissipação e acionamento, sensor com condicionamento, aquecedor e carga de três diodos. É uma bancada para estudar os circuitos antes de conectar um laser. Não é a lista completa de fabricação da placa R6 nem uma afirmação de que ela já contém controle de corrente do laser e de temperatura.</x:v>
      </x:c>
    </x:row>
    <x:row r="7" ht="84" customHeight="1">
      <x:c r="A7" s="46" t="str">
        <x:v>Microcontrolador auxiliar</x:v>
      </x:c>
      <x:c r="B7" s="47" t="str">
        <x:v>A opção mantém a Raspberry Pi Pico com RP2040, já usada no projeto. Uma placa executa aquisição e comando do aquecedor; a segunda é reserva. As quantidades podem ser reduzidas conforme o material disponível. O CM5 pode receber dados posteriormente; não é necessário comprar outro CM5 para começar os ensaios pela USB do computador.</x:v>
      </x:c>
      <x:c r="C7" s="47" t="str">
        <x:v>A opção mantém a Raspberry Pi Pico com RP2040, já usada no projeto. Uma placa executa aquisição e comando do aquecedor; a segunda é reserva. As quantidades podem ser reduzidas conforme o material disponível. O CM5 pode receber dados posteriormente; não é necessário comprar outro CM5 para começar os ensaios pela USB do computador.</x:v>
      </x:c>
      <x:c r="D7" s="47" t="str">
        <x:v>A opção mantém a Raspberry Pi Pico com RP2040, já usada no projeto. Uma placa executa aquisição e comando do aquecedor; a segunda é reserva. As quantidades podem ser reduzidas conforme o material disponível. O CM5 pode receber dados posteriormente; não é necessário comprar outro CM5 para começar os ensaios pela USB do computador.</x:v>
      </x:c>
    </x:row>
    <x:row r="8" ht="84" customHeight="1">
      <x:c r="A8" s="44" t="str">
        <x:v>Alimentação do ensaio</x:v>
      </x:c>
      <x:c r="B8" s="45" t="str">
        <x:v>Usar a fonte ajustável inicialmente em 12 V, com limitação de corrente. Os três XL4015 separam os ajustes do TEC, do aquecedor e da carga de diodos. A Pico recebe alimentação USB e fornece 3,3 V à parte de medição, dentro da capacidade disponível. Não aplicar 12 V ou 15 V aos GPIOs, ao ADC, à USB ou ao pino 3V3 da Pico.</x:v>
      </x:c>
      <x:c r="C8" s="45" t="str">
        <x:v>Usar a fonte ajustável inicialmente em 12 V, com limitação de corrente. Os três XL4015 separam os ajustes do TEC, do aquecedor e da carga de diodos. A Pico recebe alimentação USB e fornece 3,3 V à parte de medição, dentro da capacidade disponível. Não aplicar 12 V ou 15 V aos GPIOs, ao ADC, à USB ou ao pino 3V3 da Pico.</x:v>
      </x:c>
      <x:c r="D8" s="45" t="str">
        <x:v>Usar a fonte ajustável inicialmente em 12 V, com limitação de corrente. Os três XL4015 separam os ajustes do TEC, do aquecedor e da carga de diodos. A Pico recebe alimentação USB e fornece 3,3 V à parte de medição, dentro da capacidade disponível. Não aplicar 12 V ou 15 V aos GPIOs, ao ADC, à USB ou ao pino 3V3 da Pico.</x:v>
      </x:c>
    </x:row>
    <x:row r="9" ht="84" customHeight="1">
      <x:c r="A9" s="46" t="str">
        <x:v>Conjunto térmico</x:v>
      </x:c>
      <x:c r="B9" s="47" t="str">
        <x:v>O TEC transfere calor da carga para o dissipador. A ventoinha ajuda o dissipador a liberar esse calor para o ar. A potência que precisa ser dissipada inclui o calor removido e a potência elétrica consumida pelo TEC. O código TEC1-12706 e o tamanho de 40 × 40 mm não comprovam equivalência com o TEC do laser. As três alternativas de kit têm diferenças mecânicas.</x:v>
      </x:c>
      <x:c r="C9" s="47" t="str">
        <x:v>O TEC transfere calor da carga para o dissipador. A ventoinha ajuda o dissipador a liberar esse calor para o ar. A potência que precisa ser dissipada inclui o calor removido e a potência elétrica consumida pelo TEC. O código TEC1-12706 e o tamanho de 40 × 40 mm não comprovam equivalência com o TEC do laser. As três alternativas de kit têm diferenças mecânicas.</x:v>
      </x:c>
      <x:c r="D9" s="47" t="str">
        <x:v>O TEC transfere calor da carga para o dissipador. A ventoinha ajuda o dissipador a liberar esse calor para o ar. A potência que precisa ser dissipada inclui o calor removido e a potência elétrica consumida pelo TEC. O código TEC1-12706 e o tamanho de 40 × 40 mm não comprovam equivalência com o TEC do laser. As três alternativas de kit têm diferenças mecânicas.</x:v>
      </x:c>
    </x:row>
    <x:row r="10" ht="84" customHeight="1">
      <x:c r="A10" s="44" t="str">
        <x:v>Acionamento inicial do TEC</x:v>
      </x:c>
      <x:c r="B10" s="45" t="str">
        <x:v>A proposta base é começar com alimentação DC ajustável manualmente pelo XL4015 CC/CV, sem ponte H. Limitar inicialmente a corrente do ramo a até 2 A e acompanhar a temperatura do dissipador; esse limite é uma condição de ensaio proposta, não uma especificação do laser. A fonte de 5 A e os fusíveis de 3 A não foram dimensionados para explorar a corrente máxima anunciada de 6 A do TEC.</x:v>
      </x:c>
      <x:c r="C10" s="45" t="str">
        <x:v>A proposta base é começar com alimentação DC ajustável manualmente pelo XL4015 CC/CV, sem ponte H. Limitar inicialmente a corrente do ramo a até 2 A e acompanhar a temperatura do dissipador; esse limite é uma condição de ensaio proposta, não uma especificação do laser. A fonte de 5 A e os fusíveis de 3 A não foram dimensionados para explorar a corrente máxima anunciada de 6 A do TEC.</x:v>
      </x:c>
      <x:c r="D10" s="45" t="str">
        <x:v>A proposta base é começar com alimentação DC ajustável manualmente pelo XL4015 CC/CV, sem ponte H. Limitar inicialmente a corrente do ramo a até 2 A e acompanhar a temperatura do dissipador; esse limite é uma condição de ensaio proposta, não uma especificação do laser. A fonte de 5 A e os fusíveis de 3 A não foram dimensionados para explorar a corrente máxima anunciada de 6 A do TEC.</x:v>
      </x:c>
    </x:row>
    <x:row r="11" ht="84" customHeight="1">
      <x:c r="A11" s="46" t="str">
        <x:v>Controle automático do TEC</x:v>
      </x:c>
      <x:c r="B11" s="47" t="str">
        <x:v>O BTS7960 foi deixado com quantidade zero, como alternativa para estudo. Um driver de motor não equivale a um controlador TEC de precisão. A passagem para controle automático requer dimensionamento da etapa de potência, filtragem, medição de corrente e malha de temperatura. PWM sem filtragem não foi adotado como solução final do TEC; o guia da Coherent discute ondulação e filtragem na alimentação.</x:v>
      </x:c>
      <x:c r="C11" s="47" t="str">
        <x:v>O BTS7960 foi deixado com quantidade zero, como alternativa para estudo. Um driver de motor não equivale a um controlador TEC de precisão. A passagem para controle automático requer dimensionamento da etapa de potência, filtragem, medição de corrente e malha de temperatura. PWM sem filtragem não foi adotado como solução final do TEC; o guia da Coherent discute ondulação e filtragem na alimentação.</x:v>
      </x:c>
      <x:c r="D11" s="47" t="str">
        <x:v>O BTS7960 foi deixado com quantidade zero, como alternativa para estudo. Um driver de motor não equivale a um controlador TEC de precisão. A passagem para controle automático requer dimensionamento da etapa de potência, filtragem, medição de corrente e malha de temperatura. PWM sem filtragem não foi adotado como solução final do TEC; o guia da Coherent discute ondulação e filtragem na alimentação.</x:v>
      </x:c>
    </x:row>
    <x:row r="12" ht="84" customHeight="1">
      <x:c r="A12" s="44" t="str">
        <x:v>Sensor e condicionamento</x:v>
      </x:c>
      <x:c r="B12" s="45" t="str">
        <x:v>Para cada NTC, a proposta é um divisor com resistor de 10 kΩ, alimentado em 3,3 V: resistor fixo no ramo superior e NTC no inferior. A tensão no ponto central diminui quando o NTC aquece. O ADC mede essa tensão; o firmware converte resistência em temperatura usando os parâmetros corretos do sensor. Os capacitores de 100 nF auxiliam a filtragem e o desacoplamento.</x:v>
      </x:c>
      <x:c r="C12" s="45" t="str">
        <x:v>Para cada NTC, a proposta é um divisor com resistor de 10 kΩ, alimentado em 3,3 V: resistor fixo no ramo superior e NTC no inferior. A tensão no ponto central diminui quando o NTC aquece. O ADC mede essa tensão; o firmware converte resistência em temperatura usando os parâmetros corretos do sensor. Os capacitores de 100 nF auxiliam a filtragem e o desacoplamento.</x:v>
      </x:c>
      <x:c r="D12" s="45" t="str">
        <x:v>Para cada NTC, a proposta é um divisor com resistor de 10 kΩ, alimentado em 3,3 V: resistor fixo no ramo superior e NTC no inferior. A tensão no ponto central diminui quando o NTC aquece. O ADC mede essa tensão; o firmware converte resistência em temperatura usando os parâmetros corretos do sensor. Os capacitores de 100 nF auxiliam a filtragem e o desacoplamento.</x:v>
      </x:c>
    </x:row>
    <x:row r="13" ht="84" customHeight="1">
      <x:c r="A13" s="46" t="str">
        <x:v>Leitura pelo ADS1115</x:v>
      </x:c>
      <x:c r="B13" s="47" t="str">
        <x:v>O ADS1115 permite quatro entradas multiplexadas e comunicação I²C. Pode-se reservar duas entradas para os NTCs e um par diferencial para o shunt, lidos em sequência. Alimentação e pull-ups em 3,3 V mantêm os sinais compatíveis com a Pico. Cada entrada deve permanecer dentro dos limites do ADC; selecionar uma escala de ganho maior não autoriza tensão acima da alimentação. Não se trata de quatro amostragens simultâneas.</x:v>
      </x:c>
      <x:c r="C13" s="47" t="str">
        <x:v>O ADS1115 permite quatro entradas multiplexadas e comunicação I²C. Pode-se reservar duas entradas para os NTCs e um par diferencial para o shunt, lidos em sequência. Alimentação e pull-ups em 3,3 V mantêm os sinais compatíveis com a Pico. Cada entrada deve permanecer dentro dos limites do ADC; selecionar uma escala de ganho maior não autoriza tensão acima da alimentação. Não se trata de quatro amostragens simultâneas.</x:v>
      </x:c>
      <x:c r="D13" s="47" t="str">
        <x:v>O ADS1115 permite quatro entradas multiplexadas e comunicação I²C. Pode-se reservar duas entradas para os NTCs e um par diferencial para o shunt, lidos em sequência. Alimentação e pull-ups em 3,3 V mantêm os sinais compatíveis com a Pico. Cada entrada deve permanecer dentro dos limites do ADC; selecionar uma escala de ganho maior não autoriza tensão acima da alimentação. Não se trata de quatro amostragens simultâneas.</x:v>
      </x:c>
    </x:row>
    <x:row r="14" ht="84" customHeight="1">
      <x:c r="A14" s="44" t="str">
        <x:v>Aquecedor que imita o laser</x:v>
      </x:c>
      <x:c r="B14" s="45" t="str">
        <x:v>O resistor de 10 Ω transforma energia elétrica em calor. Em 5 V, os valores nominais calculados são I = 5/10 = 0,5 A e P = 5²/10 = 2,5 W. A indicação 20 W é a potência nominal do componente sob suas condições de uso, não o consumo obrigatório. O MOSFET controla a potência média por PWM. Fixar o aquecedor à massa térmica do ensaio com isolamento elétrico apropriado.</x:v>
      </x:c>
      <x:c r="C14" s="45" t="str">
        <x:v>O resistor de 10 Ω transforma energia elétrica em calor. Em 5 V, os valores nominais calculados são I = 5/10 = 0,5 A e P = 5²/10 = 2,5 W. A indicação 20 W é a potência nominal do componente sob suas condições de uso, não o consumo obrigatório. O MOSFET controla a potência média por PWM. Fixar o aquecedor à massa térmica do ensaio com isolamento elétrico apropriado.</x:v>
      </x:c>
      <x:c r="D14" s="45" t="str">
        <x:v>O resistor de 10 Ω transforma energia elétrica em calor. Em 5 V, os valores nominais calculados são I = 5/10 = 0,5 A e P = 5²/10 = 2,5 W. A indicação 20 W é a potência nominal do componente sob suas condições de uso, não o consumo obrigatório. O MOSFET controla a potência média por PWM. Fixar o aquecedor à massa térmica do ensaio com isolamento elétrico apropriado.</x:v>
      </x:c>
    </x:row>
    <x:row r="15" ht="84" customHeight="1">
      <x:c r="A15" s="46" t="str">
        <x:v>Carga de três diodos</x:v>
      </x:c>
      <x:c r="B15" s="47" t="str">
        <x:v>Ligar três 1N5408 em série forma uma carga para estudar o fornecimento de corrente. O XL4015 CC/CV permite um primeiro ajuste manual. Propõe-se começar em 0,2 A, valor de ensaio e não corrente nominal do laser. A queda nos diodos varia com corrente e temperatura. A carga não reproduz luz, eficiência óptica ou todos os transientes de um laser; um módulo CC/CV genérico não é um driver aprovado para o laser real.</x:v>
      </x:c>
      <x:c r="C15" s="47" t="str">
        <x:v>Ligar três 1N5408 em série forma uma carga para estudar o fornecimento de corrente. O XL4015 CC/CV permite um primeiro ajuste manual. Propõe-se começar em 0,2 A, valor de ensaio e não corrente nominal do laser. A queda nos diodos varia com corrente e temperatura. A carga não reproduz luz, eficiência óptica ou todos os transientes de um laser; um módulo CC/CV genérico não é um driver aprovado para o laser real.</x:v>
      </x:c>
      <x:c r="D15" s="47" t="str">
        <x:v>Ligar três 1N5408 em série forma uma carga para estudar o fornecimento de corrente. O XL4015 CC/CV permite um primeiro ajuste manual. Propõe-se começar em 0,2 A, valor de ensaio e não corrente nominal do laser. A queda nos diodos varia com corrente e temperatura. A carga não reproduz luz, eficiência óptica ou todos os transientes de um laser; um módulo CC/CV genérico não é um driver aprovado para o laser real.</x:v>
      </x:c>
    </x:row>
    <x:row r="16" ht="84" customHeight="1">
      <x:c r="A16" s="44" t="str">
        <x:v>Ponto de medição de corrente</x:v>
      </x:c>
      <x:c r="B16" s="45" t="str">
        <x:v>Com um shunt de 1 Ω, I = Vshunt / 1 Ω. Em 0,2 A, calculam-se 0,2 V e 0,04 W no resistor. Esses são cálculos nominais, não resultados medidos. A tolerância de 5% e a exatidão do ADC afetam a medida. Módulos CC/CV podem medir corrente no retorno: não unir IN− e OUT− externamente sem verificar o circuito, pois isso pode desviar o resistor de medição do regulador.</x:v>
      </x:c>
      <x:c r="C16" s="45" t="str">
        <x:v>Com um shunt de 1 Ω, I = Vshunt / 1 Ω. Em 0,2 A, calculam-se 0,2 V e 0,04 W no resistor. Esses são cálculos nominais, não resultados medidos. A tolerância de 5% e a exatidão do ADC afetam a medida. Módulos CC/CV podem medir corrente no retorno: não unir IN− e OUT− externamente sem verificar o circuito, pois isso pode desviar o resistor de medição do regulador.</x:v>
      </x:c>
      <x:c r="D16" s="45" t="str">
        <x:v>Com um shunt de 1 Ω, I = Vshunt / 1 Ω. Em 0,2 A, calculam-se 0,2 V e 0,04 W no resistor. Esses são cálculos nominais, não resultados medidos. A tolerância de 5% e a exatidão do ADC afetam a medida. Módulos CC/CV podem medir corrente no retorno: não unir IN− e OUT− externamente sem verificar o circuito, pois isso pode desviar o resistor de medição do regulador.</x:v>
      </x:c>
    </x:row>
    <x:row r="17" ht="84" customHeight="1">
      <x:c r="A17" s="46" t="str">
        <x:v>Sequência de montagem</x:v>
      </x:c>
      <x:c r="B17" s="47" t="str">
        <x:v>Primeiro, verificar Pico, ADC e NTCs pela USB. Depois, ensaiar separadamente o aquecedor em 5 V, a carga de diodos com corrente limitada e o conjunto TEC já preso ao dissipador com ventilação. Só então reunir os ramos. As conexões de potência devem ser soldadas ou feitas por bornes apropriados; protoboard e jumpers ficam reservados à eletrônica de medição e aos sinais.</x:v>
      </x:c>
      <x:c r="C17" s="47" t="str">
        <x:v>Primeiro, verificar Pico, ADC e NTCs pela USB. Depois, ensaiar separadamente o aquecedor em 5 V, a carga de diodos com corrente limitada e o conjunto TEC já preso ao dissipador com ventilação. Só então reunir os ramos. As conexões de potência devem ser soldadas ou feitas por bornes apropriados; protoboard e jumpers ficam reservados à eletrônica de medição e aos sinais.</x:v>
      </x:c>
      <x:c r="D17" s="47" t="str">
        <x:v>Primeiro, verificar Pico, ADC e NTCs pela USB. Depois, ensaiar separadamente o aquecedor em 5 V, a carga de diodos com corrente limitada e o conjunto TEC já preso ao dissipador com ventilação. Só então reunir os ramos. As conexões de potência devem ser soldadas ou feitas por bornes apropriados; protoboard e jumpers ficam reservados à eletrônica de medição e aos sinais.</x:v>
      </x:c>
    </x:row>
    <x:row r="18" ht="84" customHeight="1">
      <x:c r="A18" s="44" t="str">
        <x:v>Ligação com a placa R6</x:v>
      </x:c>
      <x:c r="B18" s="45" t="str">
        <x:v>A entrada externa de duas vias da placa R6 permanece associada aos 15 V do projeto. J103 disponibiliza a interface I²C e a linha interna de 3,3 V; não exige uma fonte externa de 3,3 V. J104 é a interface de ventilação de 5 V do projeto: os ventiladores de 12 V desta bancada não devem ser conectados diretamente ali. BIAS_F e BIAS_OUT são sinais do controle do MZM e não alimentações para TEC, aquecedor ou laser.</x:v>
      </x:c>
      <x:c r="C18" s="45" t="str">
        <x:v>A entrada externa de duas vias da placa R6 permanece associada aos 15 V do projeto. J103 disponibiliza a interface I²C e a linha interna de 3,3 V; não exige uma fonte externa de 3,3 V. J104 é a interface de ventilação de 5 V do projeto: os ventiladores de 12 V desta bancada não devem ser conectados diretamente ali. BIAS_F e BIAS_OUT são sinais do controle do MZM e não alimentações para TEC, aquecedor ou laser.</x:v>
      </x:c>
      <x:c r="D18" s="45" t="str">
        <x:v>A entrada externa de duas vias da placa R6 permanece associada aos 15 V do projeto. J103 disponibiliza a interface I²C e a linha interna de 3,3 V; não exige uma fonte externa de 3,3 V. J104 é a interface de ventilação de 5 V do projeto: os ventiladores de 12 V desta bancada não devem ser conectados diretamente ali. BIAS_F e BIAS_OUT são sinais do controle do MZM e não alimentações para TEC, aquecedor ou laser.</x:v>
      </x:c>
    </x:row>
    <x:row r="19" ht="84" customHeight="1">
      <x:c r="A19" s="46" t="str">
        <x:v>Mecânica e instrumentos</x:v>
      </x:c>
      <x:c r="B19" s="47" t="str">
        <x:v>O suporte da carga, os pontos de fixação dos sensores e o isolamento do aquecedor dependem do kit escolhido. Confirmar se pasta térmica, parafusos e cabos da fonte acompanham a oferta. Esses complementos específicos, solda e instrumentos (multímetro, osciloscópio e termômetro de referência) não foram precificados. A lista não presume que o laboratório já os possui.</x:v>
      </x:c>
      <x:c r="C19" s="47" t="str">
        <x:v>O suporte da carga, os pontos de fixação dos sensores e o isolamento do aquecedor dependem do kit escolhido. Confirmar se pasta térmica, parafusos e cabos da fonte acompanham a oferta. Esses complementos específicos, solda e instrumentos (multímetro, osciloscópio e termômetro de referência) não foram precificados. A lista não presume que o laboratório já os possui.</x:v>
      </x:c>
      <x:c r="D19" s="47" t="str">
        <x:v>O suporte da carga, os pontos de fixação dos sensores e o isolamento do aquecedor dependem do kit escolhido. Confirmar se pasta térmica, parafusos e cabos da fonte acompanham a oferta. Esses complementos específicos, solda e instrumentos (multímetro, osciloscópio e termômetro de referência) não foram precificados. A lista não presume que o laboratório já os possui.</x:v>
      </x:c>
    </x:row>
    <x:row r="20" ht="84" customHeight="1">
      <x:c r="A20" s="44" t="str">
        <x:v>Antes da compra para o laser</x:v>
      </x:c>
      <x:c r="B20" s="45" t="str">
        <x:v>Para substituir a bancada didática pelo conjunto equivalente ao laser, faltam a identificação exata do laser e os dados do TEC: dimensões, tensão, corrente, carga térmica e faixa de temperatura. Também são necessários os dados do sensor e a corrente de operação do laser. Essas informações alteram principalmente os itens 02, 03, 04, 12 e 13. A proposta de ensaio não deve ser apresentada como validação desses componentes para o laser real.</x:v>
      </x:c>
      <x:c r="C20" s="45" t="str">
        <x:v>Para substituir a bancada didática pelo conjunto equivalente ao laser, faltam a identificação exata do laser e os dados do TEC: dimensões, tensão, corrente, carga térmica e faixa de temperatura. Também são necessários os dados do sensor e a corrente de operação do laser. Essas informações alteram principalmente os itens 02, 03, 04, 12 e 13. A proposta de ensaio não deve ser apresentada como validação desses componentes para o laser real.</x:v>
      </x:c>
      <x:c r="D20" s="45" t="str">
        <x:v>Para substituir a bancada didática pelo conjunto equivalente ao laser, faltam a identificação exata do laser e os dados do TEC: dimensões, tensão, corrente, carga térmica e faixa de temperatura. Também são necessários os dados do sensor e a corrente de operação do laser. Essas informações alteram principalmente os itens 02, 03, 04, 12 e 13. A proposta de ensaio não deve ser apresentada como validação desses componentes para o laser real.</x:v>
      </x:c>
    </x:row>
    <x:row r="21" ht="84" customHeight="1">
      <x:c r="A21" s="46" t="str">
        <x:v>Leitura do orçamento</x:v>
      </x:c>
      <x:c r="B21" s="47" t="str">
        <x:v>O subtotal soma apenas preços conhecidos da opção selecionada. O aquecedor está com preço pendente. Frete, eventuais pedidos mínimos, consumíveis de montagem e instrumentos adicionais não entram nesse subtotal. Estoque e preços são os anunciados nas páginas consultadas, sujeitos a alteração; não foram feitas compras nem reservas. Links de marketplace podem ser do mesmo vendedor de outra opção.</x:v>
      </x:c>
      <x:c r="C21" s="47" t="str">
        <x:v>O subtotal soma apenas preços conhecidos da opção selecionada. O aquecedor está com preço pendente. Frete, eventuais pedidos mínimos, consumíveis de montagem e instrumentos adicionais não entram nesse subtotal. Estoque e preços são os anunciados nas páginas consultadas, sujeitos a alteração; não foram feitas compras nem reservas. Links de marketplace podem ser do mesmo vendedor de outra opção.</x:v>
      </x:c>
      <x:c r="D21" s="47" t="str">
        <x:v>O subtotal soma apenas preços conhecidos da opção selecionada. O aquecedor está com preço pendente. Frete, eventuais pedidos mínimos, consumíveis de montagem e instrumentos adicionais não entram nesse subtotal. Estoque e preços são os anunciados nas páginas consultadas, sujeitos a alteração; não foram feitas compras nem reservas. Links de marketplace podem ser do mesmo vendedor de outra opção.</x:v>
      </x:c>
    </x:row>
    <x:row r="22" ht="70.5" customHeight="1">
      <x:c r="A22" s="44" t="str">
        <x:v>Fonte técnica — Raspberry Pi</x:v>
      </x:c>
      <x:c r="B22" s="45" t="str">
        <x:v>Documentação oficial da família Pico: alimentação, interfaces e pinagem. https://www.raspberrypi.com/documentation/microcontrollers/pico-series.html — Datasheet: https://datasheets.raspberrypi.com/pico/pico-datasheet.pdf</x:v>
      </x:c>
      <x:c r="C22" s="45" t="str">
        <x:v>Documentação oficial da família Pico: alimentação, interfaces e pinagem. https://www.raspberrypi.com/documentation/microcontrollers/pico-series.html — Datasheet: https://datasheets.raspberrypi.com/pico/pico-datasheet.pdf</x:v>
      </x:c>
      <x:c r="D22" s="45" t="str">
        <x:v>Documentação oficial da família Pico: alimentação, interfaces e pinagem. https://www.raspberrypi.com/documentation/microcontrollers/pico-series.html — Datasheet: https://datasheets.raspberrypi.com/pico/pico-datasheet.pdf</x:v>
      </x:c>
    </x:row>
    <x:row r="23" ht="70.5" customHeight="1">
      <x:c r="A23" s="46" t="str">
        <x:v>Fonte técnica — Texas Instruments</x:v>
      </x:c>
      <x:c r="B23" s="47" t="str">
        <x:v>ADS1115: conversor de 16 bits, quatro entradas multiplexadas, I²C e alimentação de 2 a 5,5 V. Usado aqui para sinais lentos da bancada. https://www.ti.com/product/ADS1115</x:v>
      </x:c>
      <x:c r="C23" s="47" t="str">
        <x:v>ADS1115: conversor de 16 bits, quatro entradas multiplexadas, I²C e alimentação de 2 a 5,5 V. Usado aqui para sinais lentos da bancada. https://www.ti.com/product/ADS1115</x:v>
      </x:c>
      <x:c r="D23" s="47" t="str">
        <x:v>ADS1115: conversor de 16 bits, quatro entradas multiplexadas, I²C e alimentação de 2 a 5,5 V. Usado aqui para sinais lentos da bancada. https://www.ti.com/product/ADS1115</x:v>
      </x:c>
    </x:row>
    <x:row r="24" ht="70.5" customHeight="1">
      <x:c r="A24" s="44" t="str">
        <x:v>Fonte técnica — Coherent</x:v>
      </x:c>
      <x:c r="B24" s="45" t="str">
        <x:v>Thermoelectric Cooling Systems Design Guide: dimensionamento, dissipação, alimentação DC, ondulação, controle e montagem de TECs. https://www.coherent.com/resources/datasheet/materials/related-resources/thermoelectrics/thermoelectric-cooling-systems-design-guide-br.pdf</x:v>
      </x:c>
      <x:c r="C24" s="45" t="str">
        <x:v>Thermoelectric Cooling Systems Design Guide: dimensionamento, dissipação, alimentação DC, ondulação, controle e montagem de TECs. https://www.coherent.com/resources/datasheet/materials/related-resources/thermoelectrics/thermoelectric-cooling-systems-design-guide-br.pdf</x:v>
      </x:c>
      <x:c r="D24" s="45" t="str">
        <x:v>Thermoelectric Cooling Systems Design Guide: dimensionamento, dissipação, alimentação DC, ondulação, controle e montagem de TECs. https://www.coherent.com/resources/datasheet/materials/related-resources/thermoelectrics/thermoelectric-cooling-systems-design-guide-br.pdf</x:v>
      </x:c>
    </x:row>
    <x:row r="25" ht="70.5" customHeight="1">
      <x:c r="A25" s="46" t="str">
        <x:v>Rastreabilidade do projeto</x:v>
      </x:c>
      <x:c r="B25" s="47" t="str">
        <x:v>Contexto consultado: Relatorio_CM5_RP2040_MZM_R6.docx e solicitação de compras enviada neste chat. A aba Cotações registra a URL individual de cada oferta. Os valores calculados e condições de ensaio foram identificados como propostas, sem atribuir medições à placa.</x:v>
      </x:c>
      <x:c r="C25" s="47" t="str">
        <x:v>Contexto consultado: Relatorio_CM5_RP2040_MZM_R6.docx e solicitação de compras enviada neste chat. A aba Cotações registra a URL individual de cada oferta. Os valores calculados e condições de ensaio foram identificados como propostas, sem atribuir medições à placa.</x:v>
      </x:c>
      <x:c r="D25" s="47" t="str">
        <x:v>Contexto consultado: Relatorio_CM5_RP2040_MZM_R6.docx e solicitação de compras enviada neste chat. A aba Cotações registra a URL individual de cada oferta. Os valores calculados e condições de ensaio foram identificados como propostas, sem atribuir medições à placa.</x:v>
      </x:c>
    </x:row>
    <x:row r="26">
      <x:c r="A26" s="3"/>
      <x:c r="B26" s="3"/>
      <x:c r="C26" s="3"/>
      <x:c r="D26" s="3"/>
    </x:row>
    <x:row r="27">
      <x:c r="A27" s="3"/>
      <x:c r="B27" s="3"/>
      <x:c r="C27" s="3"/>
      <x:c r="D27" s="3"/>
    </x:row>
    <x:row r="28">
      <x:c r="A28" s="3"/>
      <x:c r="B28" s="3"/>
      <x:c r="C28" s="3"/>
      <x:c r="D28" s="3"/>
    </x:row>
    <x:row r="29">
      <x:c r="A29" s="3"/>
      <x:c r="B29" s="3"/>
      <x:c r="C29" s="3"/>
      <x:c r="D29" s="3"/>
    </x:row>
  </x:sheetData>
  <x:mergeCells>
    <x:mergeCell ref="A2:D2"/>
    <x:mergeCell ref="A3:D3"/>
    <x:mergeCell ref="A4:D4"/>
    <x:mergeCell ref="B5:D5"/>
    <x:mergeCell ref="B6:D6"/>
    <x:mergeCell ref="B7:D7"/>
    <x:mergeCell ref="B8:D8"/>
    <x:mergeCell ref="B9:D9"/>
    <x:mergeCell ref="B10:D10"/>
    <x:mergeCell ref="B11:D11"/>
    <x:mergeCell ref="B12:D12"/>
    <x:mergeCell ref="B13:D13"/>
    <x:mergeCell ref="B14:D14"/>
    <x:mergeCell ref="B15:D15"/>
    <x:mergeCell ref="B16:D16"/>
    <x:mergeCell ref="B17:D17"/>
    <x:mergeCell ref="B18:D18"/>
    <x:mergeCell ref="B19:D19"/>
    <x:mergeCell ref="B20:D20"/>
    <x:mergeCell ref="B21:D21"/>
    <x:mergeCell ref="B22:D22"/>
    <x:mergeCell ref="B23:D23"/>
    <x:mergeCell ref="B24:D24"/>
    <x:mergeCell ref="B25:D25"/>
  </x:mergeCells>
  <x:pageMargins left="0.7" right="0.7" top="0.75" bottom="0.75" header="0.3" footer="0.3"/>
</x:worksheet>
</file>